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Model" sheetId="3" state="visible" r:id="rId5"/>
    <sheet name="Results" sheetId="4" state="visible" r:id="rId6"/>
    <sheet name="Scenarios" sheetId="5" state="visible" r:id="rId7"/>
    <sheet name="OWS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<sst xmlns="http://schemas.openxmlformats.org/spreadsheetml/2006/main" count="658" uniqueCount="221">
  <si>
    <t xml:space="preserve">gammaCore for Chronic Cluster Headache — Cost-Effectiveness (Cost-Minimisation) Model</t>
  </si>
  <si>
    <t xml:space="preserve">Replication of the electroCore sponsor submission to NICE, Medical Technology Guidance MT323 ("Supporting documentation – Committee papers"), Section 9 De novo cost analysis, cross-checked against the External Assessment Centre (EAC) report, Section 4.6.</t>
  </si>
  <si>
    <t xml:space="preserve">Model overview</t>
  </si>
  <si>
    <t xml:space="preserve">This is a 2-state Markov cost-minimisation model (no QALYs — the sponsor did not model health utilities, only NHS resource costs). States are Responder and Non-responder, defined as achieving a threshold reduction in weekly cluster-headache attack frequency vs. baseline. Two arms are compared: gammaCore (nVNS) added to standard-of-care abortive medication, vs. standard of care (SoC) alone. Cycle length is 1 month, time horizon is 12 months, perspective is NHS, and no discounting is applied (consistent with the sponsor's Table C9).</t>
  </si>
  <si>
    <t xml:space="preserve">Costs comprise abortive medication (zolmitriptan nasal spray, subcutaneous/nasal sumatriptan, and inhaled oxygen) plus the gammaCore device itself (£625 per 93-day/3-month refill card, with the first 3 months supplied free). All clinical and resource-use parameters are taken from Tables C10–C15 of the sponsor submission.</t>
  </si>
  <si>
    <t xml:space="preserve">Sheet guide</t>
  </si>
  <si>
    <t xml:space="preserve">•  Inputs — every hardcoded parameter (blue font), including the dose table for all five responder definitions (≥25%, ≥40%, ≥50%, ≥65%, and the Morris et al. 2016 "50% using means" approach), unit costs, and four yellow scenario-selector cells that drive the Model sheet.</t>
  </si>
  <si>
    <t xml:space="preserve">•  Model — a live, fully-formula-driven 12-month trace for the scenario currently selected on the Inputs sheet. Change the yellow selector cells and this sheet (and Results) recalculate automatically.</t>
  </si>
  <si>
    <t xml:space="preserve">•  Results — headline totals and a cost-by-category breakdown for the current scenario, shown alongside the company's own published figures (Table C16–C18) for direct comparison.</t>
  </si>
  <si>
    <t xml:space="preserve">•  Scenarios — all 30 combinations of responder definition (5) × response-loss assumption (3) × non-responder use assumption (2) pre-computed side-by-side, reproducing the structure of Table C20. A summary table at the top links to a full 12-month calculation block for each scenario below.</t>
  </si>
  <si>
    <t xml:space="preserve">•  OWSA — one-way deterministic sensitivity analysis on the ten parameters with the largest impact (cf. Table C19 / the tornado diagram), each varied independently to its published lower/upper bound.</t>
  </si>
  <si>
    <t xml:space="preserve">Validation against the published results</t>
  </si>
  <si>
    <t xml:space="preserve">Base case (Inputs selectors = 50 / none / soc / No): this model returns £3,458.96 for gammaCore + SoC and £3,913.04 for SoC alone (difference −£454.08), versus the company-reported £3,448.45 / £3,898.86 (difference −£450.42) — within about 1%. Every alternative scenario (Table C20) and every OWSA parameter (Table C19) reproduces the same sign, ranking, and order of magnitude as the published results, generally within 1–5%.</t>
  </si>
  <si>
    <t xml:space="preserve">The residual gap is not a structural error — it comes from the sponsor's own tables, which round resource-use inputs to 2–3 significant figures (e.g. "2.50 doses per 14 days"). The true unrounded PREVA post-hoc data referenced in the EAC's correspondence log is not published in this document, so a small rounding-driven gap of this size is the practical ceiling on replication accuracy achievable from the public submission alone.</t>
  </si>
  <si>
    <t xml:space="preserve">Key structural assumptions (see Section 9.1.5–9.1.8 of the submission for full detail)</t>
  </si>
  <si>
    <t xml:space="preserve">•  gammaCore is free for the first 3 months (the evaluation period). During this period, both responders and non-responders remain on gammaCore, with non-responders costed using the reduced "non-responder, on treatment" resource-use group.</t>
  </si>
  <si>
    <t xml:space="preserve">•  From month 4 onward, only patients still classified as responders continue to pay for gammaCore (£625 every 3 months, smoothed here to £208.33/month); non-responders discontinue gammaCore and revert to either SoC-arm or PREVA-baseline medication use (selectable).</t>
  </si>
  <si>
    <t xml:space="preserve">•  In the base case, gammaCore responders lose response only once, between month 1 and month 2 (reflecting the observed change between the randomised and extension phases of the PREVA trial), and then maintain response for the rest of the year. "Constant" and "diminishing" loss-rate scenarios are also available.</t>
  </si>
  <si>
    <t xml:space="preserve">•  SoC-arm responders (8.3% in month 1) are assumed to revert to non-responder status from month 2 onward, per the company's conservative assumption.</t>
  </si>
  <si>
    <t xml:space="preserve">Source</t>
  </si>
  <si>
    <t xml:space="preserve">electroCore. Supporting documentation – Committee papers: gammaCore for cluster headache [MT323]. Sponsor submission of evidence, Section 9 (pp. 132–177); and NICE External Assessment Centre report, Section 4.6 (pp. 62–74). Companion R script available on request.</t>
  </si>
  <si>
    <t xml:space="preserve">gammaCore for Chronic Cluster Headache — Model INPUTS</t>
  </si>
  <si>
    <t xml:space="preserve">All hardcoded inputs (blue) sourced from the electroCore sponsor submission to NICE, Section 9 (Tables C10–C15), unless noted.</t>
  </si>
  <si>
    <t xml:space="preserve">1. UNIT COSTS  (NHS Drug Tariff, March 2019 / East of England Priorities Advisory Committee, 2017)</t>
  </si>
  <si>
    <t xml:space="preserve">Zolmitriptan nasal — cost per unit (£)</t>
  </si>
  <si>
    <t xml:space="preserve">Table C10</t>
  </si>
  <si>
    <t xml:space="preserve">Sumatriptan s.c. — cost per unit (£)</t>
  </si>
  <si>
    <t xml:space="preserve">Sumatriptan nasal — cost per unit (£)</t>
  </si>
  <si>
    <t xml:space="preserve">Oxygen (static cylinder) — cost per treatment (£)</t>
  </si>
  <si>
    <t xml:space="preserve">Table C10; range 0.50–0.63</t>
  </si>
  <si>
    <t xml:space="preserve">Oxygen (portable cylinder) — cost per treatment (£)</t>
  </si>
  <si>
    <t xml:space="preserve">Table C10; range 0.70–0.88</t>
  </si>
  <si>
    <t xml:space="preserve">% of sumatriptan treatments that are s.c.</t>
  </si>
  <si>
    <t xml:space="preserve">Table C10; range 66.1%–98.2%</t>
  </si>
  <si>
    <t xml:space="preserve">% of oxygen treatments that are portable</t>
  </si>
  <si>
    <t xml:space="preserve">Table C10; range 0%–60% (assumption)</t>
  </si>
  <si>
    <t xml:space="preserve">Blended sumatriptan unit cost (£) — derived</t>
  </si>
  <si>
    <t xml:space="preserve">Blended oxygen unit cost (£) — derived</t>
  </si>
  <si>
    <t xml:space="preserve">2. GAMMACORE DEVICE PRICING</t>
  </si>
  <si>
    <t xml:space="preserve">gammaCore cost per 93-day (3-month) refill (£, ex. VAT)</t>
  </si>
  <si>
    <t xml:space="preserve">Section 9.3.5 — list price</t>
  </si>
  <si>
    <t xml:space="preserve">Number of free initial months (activation card)</t>
  </si>
  <si>
    <t xml:space="preserve">Section 9.1.5</t>
  </si>
  <si>
    <t xml:space="preserve">Smoothed monthly equivalent cost (£) — derived</t>
  </si>
  <si>
    <t xml:space="preserve">3. RESPONSE PROBABILITIES</t>
  </si>
  <si>
    <t xml:space="preserve">Probability of response (≥50%) — SoC, month 1</t>
  </si>
  <si>
    <t xml:space="preserve">Table C10; Gaul et al. 2016; range 2.4%–17.5%</t>
  </si>
  <si>
    <t xml:space="preserve">Probability of discontinued response per month — initial gCore responders</t>
  </si>
  <si>
    <t xml:space="preserve">Table C10; range 16.2%–54.1%</t>
  </si>
  <si>
    <t xml:space="preserve">4. TIME CONVERSION</t>
  </si>
  <si>
    <t xml:space="preserve">Average days per month (365.25/12) — converts doses/14 days to doses/month</t>
  </si>
  <si>
    <t xml:space="preserve">5. DOSE TABLE BY RESPONDER DEFINITION  (doses per 14 days; Table C10)</t>
  </si>
  <si>
    <t xml:space="preserve">Definition</t>
  </si>
  <si>
    <t xml:space="preserve">P(response)
gCore</t>
  </si>
  <si>
    <t xml:space="preserve">Responder
zolm</t>
  </si>
  <si>
    <t xml:space="preserve">Responder
suma</t>
  </si>
  <si>
    <t xml:space="preserve">Responder
oxy</t>
  </si>
  <si>
    <t xml:space="preserve">Non-resp (on Tx)
zolm</t>
  </si>
  <si>
    <t xml:space="preserve">Non-resp (on Tx)
suma</t>
  </si>
  <si>
    <t xml:space="preserve">Non-resp (on Tx)
oxy</t>
  </si>
  <si>
    <t xml:space="preserve">Non-resp (baseline)
zolm</t>
  </si>
  <si>
    <t xml:space="preserve">Non-resp (baseline)
suma</t>
  </si>
  <si>
    <t xml:space="preserve">Non-resp (baseline)
oxy</t>
  </si>
  <si>
    <t xml:space="preserve">25</t>
  </si>
  <si>
    <t xml:space="preserve">40</t>
  </si>
  <si>
    <t xml:space="preserve">50</t>
  </si>
  <si>
    <t xml:space="preserve">65</t>
  </si>
  <si>
    <t xml:space="preserve">50m</t>
  </si>
  <si>
    <t xml:space="preserve">6. STANDARD-OF-CARE NON-RESPONDER DOSE  (fixed, doses per 14 days; Table C10)</t>
  </si>
  <si>
    <t xml:space="preserve">zolm</t>
  </si>
  <si>
    <t xml:space="preserve">suma</t>
  </si>
  <si>
    <t xml:space="preserve">oxy</t>
  </si>
  <si>
    <t xml:space="preserve">7. SCENARIO SELECTORS  (drive the Model sheet — change these to explore scenarios)</t>
  </si>
  <si>
    <t xml:space="preserve">Responder definition</t>
  </si>
  <si>
    <t xml:space="preserve">Choose: 25 / 40 / 50 / 65 / 50m</t>
  </si>
  <si>
    <t xml:space="preserve">Response-loss assumption</t>
  </si>
  <si>
    <t xml:space="preserve">none</t>
  </si>
  <si>
    <t xml:space="preserve">Choose: none / constant / diminishing</t>
  </si>
  <si>
    <t xml:space="preserve">Non-responder use assumption (post-discontinuation)</t>
  </si>
  <si>
    <t xml:space="preserve">soc</t>
  </si>
  <si>
    <t xml:space="preserve">Choose: soc / baseline</t>
  </si>
  <si>
    <t xml:space="preserve">SoC arm: no initial response scenario?</t>
  </si>
  <si>
    <t xml:space="preserve">No</t>
  </si>
  <si>
    <t xml:space="preserve">Choose: Yes / No</t>
  </si>
  <si>
    <t xml:space="preserve">gammaCore for Chronic Cluster Headache — MODEL (12-month Markov trace)</t>
  </si>
  <si>
    <t xml:space="preserve">Driven by the scenario selectors on the Inputs sheet. All formulas recalculate automatically when those selectors change.</t>
  </si>
  <si>
    <t xml:space="preserve">Selected responder definition:</t>
  </si>
  <si>
    <t xml:space="preserve">P(response) gCore:</t>
  </si>
  <si>
    <t xml:space="preserve">Response-loss assumption:</t>
  </si>
  <si>
    <t xml:space="preserve">P(discontinued response)/month:</t>
  </si>
  <si>
    <t xml:space="preserve">Non-responder use (post-discontinuation):</t>
  </si>
  <si>
    <t xml:space="preserve">SoC — no initial response scenario:</t>
  </si>
  <si>
    <t xml:space="preserve">Cycle</t>
  </si>
  <si>
    <t xml:space="preserve">In free
trial?</t>
  </si>
  <si>
    <t xml:space="preserve">gCore arm
responder %</t>
  </si>
  <si>
    <t xml:space="preserve">gCore arm
monthly cost (£)</t>
  </si>
  <si>
    <t xml:space="preserve">SoC arm
responder %</t>
  </si>
  <si>
    <t xml:space="preserve">SoC arm
monthly cost (£)</t>
  </si>
  <si>
    <t xml:space="preserve">TOTAL (12 months)</t>
  </si>
  <si>
    <t xml:space="preserve">Difference (gCore + SoC minus SoC)</t>
  </si>
  <si>
    <t xml:space="preserve">gammaCore for Chronic Cluster Headache — RESULTS</t>
  </si>
  <si>
    <t xml:space="preserve">Live results for the scenario currently selected on the Inputs sheet, validated against the company-reported base case (Table C16–C18).</t>
  </si>
  <si>
    <t xml:space="preserve">HEADLINE RESULTS (Table C16)</t>
  </si>
  <si>
    <t xml:space="preserve">gammaCore + SoC (£)</t>
  </si>
  <si>
    <t xml:space="preserve">SoC alone (£)</t>
  </si>
  <si>
    <t xml:space="preserve">Difference (£)</t>
  </si>
  <si>
    <t xml:space="preserve">Notes</t>
  </si>
  <si>
    <t xml:space="preserve">Model result (current scenario)</t>
  </si>
  <si>
    <t xml:space="preserve">Company-reported base case</t>
  </si>
  <si>
    <t xml:space="preserve">Source: Sponsor submission, Table C16 (base case: 50% definition, no response loss, SoC non-responder use)</t>
  </si>
  <si>
    <t xml:space="preserve">Difference vs. company-reported (this replication)</t>
  </si>
  <si>
    <t xml:space="preserve">Only exact when Inputs selectors = 50 / none / soc / No (base case). Small residual gap (~1%) is due to 2–3 sig-fig rounding of doses in the published Table C10.</t>
  </si>
  <si>
    <t xml:space="preserve">COST BY CATEGORY, CURRENT SCENARIO (cf. Table C17)</t>
  </si>
  <si>
    <t xml:space="preserve">Item</t>
  </si>
  <si>
    <t xml:space="preserve">SoC (£)</t>
  </si>
  <si>
    <t xml:space="preserve">Increment (£)</t>
  </si>
  <si>
    <t xml:space="preserve">Company-reported (base case only)</t>
  </si>
  <si>
    <t xml:space="preserve">gammaCore device</t>
  </si>
  <si>
    <t xml:space="preserve">GC device only</t>
  </si>
  <si>
    <t xml:space="preserve">Zolmitriptan</t>
  </si>
  <si>
    <t xml:space="preserve">206.33 / 204.85 (+1.48)</t>
  </si>
  <si>
    <t xml:space="preserve">Sumatriptan</t>
  </si>
  <si>
    <t xml:space="preserve">2577.39 / 3505.53 (-928.13)</t>
  </si>
  <si>
    <t xml:space="preserve">Oxygen</t>
  </si>
  <si>
    <t xml:space="preserve">147.55 / 188.49 (-40.95)</t>
  </si>
  <si>
    <t xml:space="preserve">Total</t>
  </si>
  <si>
    <t xml:space="preserve">NOTES ON VALIDATION</t>
  </si>
  <si>
    <t xml:space="preserve">This replication reproduces the company's base-case total costs (Table C16) to within ~1%.</t>
  </si>
  <si>
    <t xml:space="preserve">The residual gap arises because Table C10 rounds resource-use inputs to 2–3 significant figures; the unrounded PREVA</t>
  </si>
  <si>
    <t xml:space="preserve">post-hoc data (referenced in the EAC report's correspondence log) is not published in this submission.</t>
  </si>
  <si>
    <t xml:space="preserve">Change the yellow selector cells on the Inputs sheet to explore the alternative response-definition and scenario</t>
  </si>
  <si>
    <t xml:space="preserve">assumptions described in Sections 9.4.1 and 9.4.3, or see the Scenarios and OWSA sheets for the full pre-computed grids.</t>
  </si>
  <si>
    <t xml:space="preserve">gammaCore for Chronic Cluster Headache — MULTI-WAY SCENARIO ANALYSIS (cf. Table C20)</t>
  </si>
  <si>
    <t xml:space="preserve">Each scenario below is a fully self-contained 12-month calculation (not linked to the Inputs selectors), so all 30 combinations are visible at once.</t>
  </si>
  <si>
    <t xml:space="preserve">SUMMARY TABLE</t>
  </si>
  <si>
    <t xml:space="preserve">Responder def.</t>
  </si>
  <si>
    <t xml:space="preserve">Loss assumption</t>
  </si>
  <si>
    <t xml:space="preserve">Non-resp. use</t>
  </si>
  <si>
    <t xml:space="preserve">gammaCore+SoC (£)</t>
  </si>
  <si>
    <t xml:space="preserve">Published (£)</t>
  </si>
  <si>
    <t xml:space="preserve">baseline</t>
  </si>
  <si>
    <t xml:space="preserve">constant</t>
  </si>
  <si>
    <t xml:space="preserve">diminishing</t>
  </si>
  <si>
    <t xml:space="preserve">DETAIL CALCULATIONS (one 12-month block per scenario)</t>
  </si>
  <si>
    <t xml:space="preserve">Scenario: 25% / none / non-resp use = soc</t>
  </si>
  <si>
    <t xml:space="preserve">Free
trial?</t>
  </si>
  <si>
    <t xml:space="preserve">gCore
resp %</t>
  </si>
  <si>
    <t xml:space="preserve">gCore
cost (£)</t>
  </si>
  <si>
    <t xml:space="preserve">SoC
resp %</t>
  </si>
  <si>
    <t xml:space="preserve">SoC
cost (£)</t>
  </si>
  <si>
    <t xml:space="preserve">Scenario: 25% / none / non-resp use = baseline</t>
  </si>
  <si>
    <t xml:space="preserve">Scenario: 25% / constant / non-resp use = soc</t>
  </si>
  <si>
    <t xml:space="preserve">Scenario: 25% / constant / non-resp use = baseline</t>
  </si>
  <si>
    <t xml:space="preserve">Scenario: 25% / diminishing / non-resp use = soc</t>
  </si>
  <si>
    <t xml:space="preserve">Scenario: 25% / diminishing / non-resp use = baseline</t>
  </si>
  <si>
    <t xml:space="preserve">Scenario: 40% / none / non-resp use = soc</t>
  </si>
  <si>
    <t xml:space="preserve">Scenario: 40% / none / non-resp use = baseline</t>
  </si>
  <si>
    <t xml:space="preserve">Scenario: 40% / constant / non-resp use = soc</t>
  </si>
  <si>
    <t xml:space="preserve">Scenario: 40% / constant / non-resp use = baseline</t>
  </si>
  <si>
    <t xml:space="preserve">Scenario: 40% / diminishing / non-resp use = soc</t>
  </si>
  <si>
    <t xml:space="preserve">Scenario: 40% / diminishing / non-resp use = baseline</t>
  </si>
  <si>
    <t xml:space="preserve">Scenario: 50m% / none / non-resp use = soc</t>
  </si>
  <si>
    <t xml:space="preserve">Scenario: 50m% / none / non-resp use = baseline</t>
  </si>
  <si>
    <t xml:space="preserve">Scenario: 50m% / constant / non-resp use = soc</t>
  </si>
  <si>
    <t xml:space="preserve">Scenario: 50m% / constant / non-resp use = baseline</t>
  </si>
  <si>
    <t xml:space="preserve">Scenario: 50m% / diminishing / non-resp use = soc</t>
  </si>
  <si>
    <t xml:space="preserve">Scenario: 50m% / diminishing / non-resp use = baseline</t>
  </si>
  <si>
    <t xml:space="preserve">Scenario: 50% / none / non-resp use = soc</t>
  </si>
  <si>
    <t xml:space="preserve">Scenario: 50% / none / non-resp use = baseline</t>
  </si>
  <si>
    <t xml:space="preserve">Scenario: 50% / constant / non-resp use = soc</t>
  </si>
  <si>
    <t xml:space="preserve">Scenario: 50% / constant / non-resp use = baseline</t>
  </si>
  <si>
    <t xml:space="preserve">Scenario: 50% / diminishing / non-resp use = soc</t>
  </si>
  <si>
    <t xml:space="preserve">Scenario: 50% / diminishing / non-resp use = baseline</t>
  </si>
  <si>
    <t xml:space="preserve">Scenario: 65% / none / non-resp use = soc</t>
  </si>
  <si>
    <t xml:space="preserve">Scenario: 65% / none / non-resp use = baseline</t>
  </si>
  <si>
    <t xml:space="preserve">Scenario: 65% / constant / non-resp use = soc</t>
  </si>
  <si>
    <t xml:space="preserve">Scenario: 65% / constant / non-resp use = baseline</t>
  </si>
  <si>
    <t xml:space="preserve">Scenario: 65% / diminishing / non-resp use = soc</t>
  </si>
  <si>
    <t xml:space="preserve">Scenario: 65% / diminishing / non-resp use = baseline</t>
  </si>
  <si>
    <t xml:space="preserve">gammaCore for Chronic Cluster Headache — ONE-WAY SENSITIVITY ANALYSIS (cf. Table C19)</t>
  </si>
  <si>
    <t xml:space="preserve">Base case (50% definition, no response loss, SoC non-responder use). Each parameter is varied to its lower/upper bound (Table C13) while all others are held at base case.</t>
  </si>
  <si>
    <t xml:space="preserve">TORNADO SUMMARY</t>
  </si>
  <si>
    <t xml:space="preserve">Parameter</t>
  </si>
  <si>
    <t xml:space="preserve">Base</t>
  </si>
  <si>
    <t xml:space="preserve">Lower bound</t>
  </si>
  <si>
    <t xml:space="preserve">Upper bound</t>
  </si>
  <si>
    <t xml:space="preserve">Cost diff @ lower (£)</t>
  </si>
  <si>
    <t xml:space="preserve">Cost diff @ upper (£)</t>
  </si>
  <si>
    <t xml:space="preserve">Range (£)</t>
  </si>
  <si>
    <t xml:space="preserve">Sumatriptan doses/14d — SoC non-responder</t>
  </si>
  <si>
    <t xml:space="preserve">Sumatriptan doses/14d — gCore non-resp. (on Tx)</t>
  </si>
  <si>
    <t xml:space="preserve">Sumatriptan doses/14d — gCore responder</t>
  </si>
  <si>
    <t xml:space="preserve">% sumatriptan treatments that are s.c.</t>
  </si>
  <si>
    <t xml:space="preserve">Zolmitriptan doses/14d — gCore non-resp. (on Tx)</t>
  </si>
  <si>
    <t xml:space="preserve">Zolmitriptan doses/14d — SoC non-responder</t>
  </si>
  <si>
    <t xml:space="preserve">Probability of response — gCore (50% def.)</t>
  </si>
  <si>
    <t xml:space="preserve">Oxygen doses/14d — SoC non-responder</t>
  </si>
  <si>
    <t xml:space="preserve">Zolmitriptan doses/14d — gCore responder</t>
  </si>
  <si>
    <t xml:space="preserve">Probability of discontinued response/month</t>
  </si>
  <si>
    <t xml:space="preserve">DETAIL CALCULATIONS</t>
  </si>
  <si>
    <t xml:space="preserve">Sumatriptan doses/14d — SoC non-responder — LOWER bound (4.88)</t>
  </si>
  <si>
    <t xml:space="preserve">Difference</t>
  </si>
  <si>
    <t xml:space="preserve">Sumatriptan doses/14d — SoC non-responder — UPPER bound (10.67)</t>
  </si>
  <si>
    <t xml:space="preserve">Sumatriptan doses/14d — gCore non-resp. (on Tx) — LOWER bound (1.0)</t>
  </si>
  <si>
    <t xml:space="preserve">Sumatriptan doses/14d — gCore non-resp. (on Tx) — UPPER bound (9.33)</t>
  </si>
  <si>
    <t xml:space="preserve">Sumatriptan doses/14d — gCore responder — LOWER bound (1.04)</t>
  </si>
  <si>
    <t xml:space="preserve">Sumatriptan doses/14d — gCore responder — UPPER bound (4.59)</t>
  </si>
  <si>
    <t xml:space="preserve">% sumatriptan treatments that are s.c. — LOWER bound (0.661)</t>
  </si>
  <si>
    <t xml:space="preserve">% sumatriptan treatments that are s.c. — UPPER bound (0.982)</t>
  </si>
  <si>
    <t xml:space="preserve">Zolmitriptan doses/14d — gCore non-resp. (on Tx) — LOWER bound (0.32)</t>
  </si>
  <si>
    <t xml:space="preserve">Zolmitriptan doses/14d — gCore non-resp. (on Tx) — UPPER bound (6.89)</t>
  </si>
  <si>
    <t xml:space="preserve">Zolmitriptan doses/14d — SoC non-responder — LOWER bound (0.45)</t>
  </si>
  <si>
    <t xml:space="preserve">Zolmitriptan doses/14d — SoC non-responder — UPPER bound (2.59)</t>
  </si>
  <si>
    <t xml:space="preserve">Probability of response — gCore (50% def.) — LOWER bound (0.263)</t>
  </si>
  <si>
    <t xml:space="preserve">Probability of response — gCore (50% def.) — UPPER bound (0.545)</t>
  </si>
  <si>
    <t xml:space="preserve">Oxygen doses/14d — SoC non-responder — LOWER bound (6.68)</t>
  </si>
  <si>
    <t xml:space="preserve">Oxygen doses/14d — SoC non-responder — UPPER bound (15.9)</t>
  </si>
  <si>
    <t xml:space="preserve">Zolmitriptan doses/14d — gCore responder — LOWER bound (0.1)</t>
  </si>
  <si>
    <t xml:space="preserve">Zolmitriptan doses/14d — gCore responder — UPPER bound (1.52)</t>
  </si>
  <si>
    <t xml:space="preserve">Probability of discontinued response/month — LOWER bound (0.162)</t>
  </si>
  <si>
    <t xml:space="preserve">Probability of discontinued response/month — UPPER bound (0.541)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</si>
</sst>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.00"/>
    <numFmt numFmtId="166" formatCode="0.0%"/>
    <numFmt numFmtId="167" formatCode="0"/>
    <numFmt numFmtId="168" formatCode="0.0000"/>
    <numFmt numFmtId="169" formatCode="0.00"/>
    <numFmt numFmtId="170" formatCode="General"/>
    <numFmt numFmtId="171" formatCode="\£#,##0.00;&quot;(£&quot;#,##0.00\)"/>
    <numFmt numFmtId="172" formatCode="\£#,##0"/>
    <numFmt numFmtId="173" formatCode="\£#,##0;&quot;(£&quot;#,##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sz val="10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9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7.3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6" customFormat="false" ht="15" hidden="false" customHeight="false" outlineLevel="0" collapsed="false">
      <c r="A6" s="3" t="s">
        <v>2</v>
      </c>
    </row>
    <row r="7" customFormat="false" ht="46.25" hidden="false" customHeight="false" outlineLevel="0" collapsed="false">
      <c r="A7" s="4" t="s">
        <v>3</v>
      </c>
    </row>
    <row r="8" customFormat="false" ht="35.05" hidden="false" customHeight="false" outlineLevel="0" collapsed="false">
      <c r="A8" s="4" t="s">
        <v>4</v>
      </c>
    </row>
    <row r="10" customFormat="false" ht="15" hidden="false" customHeight="false" outlineLevel="0" collapsed="false">
      <c r="A10" s="3" t="s">
        <v>5</v>
      </c>
    </row>
    <row r="11" customFormat="false" ht="23.85" hidden="false" customHeight="false" outlineLevel="0" collapsed="false">
      <c r="A11" s="4" t="s">
        <v>6</v>
      </c>
    </row>
    <row r="12" customFormat="false" ht="23.85" hidden="false" customHeight="false" outlineLevel="0" collapsed="false">
      <c r="A12" s="4" t="s">
        <v>7</v>
      </c>
    </row>
    <row r="13" customFormat="false" ht="23.85" hidden="false" customHeight="false" outlineLevel="0" collapsed="false">
      <c r="A13" s="4" t="s">
        <v>8</v>
      </c>
    </row>
    <row r="14" customFormat="false" ht="23.85" hidden="false" customHeight="false" outlineLevel="0" collapsed="false">
      <c r="A14" s="4" t="s">
        <v>9</v>
      </c>
    </row>
    <row r="15" customFormat="false" ht="23.85" hidden="false" customHeight="false" outlineLevel="0" collapsed="false">
      <c r="A15" s="4" t="s">
        <v>10</v>
      </c>
    </row>
    <row r="17" customFormat="false" ht="15" hidden="false" customHeight="false" outlineLevel="0" collapsed="false">
      <c r="A17" s="3" t="s">
        <v>11</v>
      </c>
    </row>
    <row r="18" customFormat="false" ht="35.05" hidden="false" customHeight="false" outlineLevel="0" collapsed="false">
      <c r="A18" s="4" t="s">
        <v>12</v>
      </c>
    </row>
    <row r="19" customFormat="false" ht="35.05" hidden="false" customHeight="false" outlineLevel="0" collapsed="false">
      <c r="A19" s="4" t="s">
        <v>13</v>
      </c>
    </row>
    <row r="21" customFormat="false" ht="15" hidden="false" customHeight="false" outlineLevel="0" collapsed="false">
      <c r="A21" s="3" t="s">
        <v>14</v>
      </c>
    </row>
    <row r="22" customFormat="false" ht="23.85" hidden="false" customHeight="false" outlineLevel="0" collapsed="false">
      <c r="A22" s="4" t="s">
        <v>15</v>
      </c>
    </row>
    <row r="23" customFormat="false" ht="23.85" hidden="false" customHeight="false" outlineLevel="0" collapsed="false">
      <c r="A23" s="4" t="s">
        <v>16</v>
      </c>
    </row>
    <row r="24" customFormat="false" ht="35.05" hidden="false" customHeight="false" outlineLevel="0" collapsed="false">
      <c r="A24" s="4" t="s">
        <v>17</v>
      </c>
    </row>
    <row r="25" customFormat="false" ht="23.85" hidden="false" customHeight="false" outlineLevel="0" collapsed="false">
      <c r="A25" s="4" t="s">
        <v>18</v>
      </c>
    </row>
    <row r="27" customFormat="false" ht="15" hidden="false" customHeight="false" outlineLevel="0" collapsed="false">
      <c r="A27" s="3" t="s">
        <v>19</v>
      </c>
    </row>
    <row r="28" customFormat="false" ht="23.85" hidden="false" customHeight="false" outlineLevel="0" collapsed="false">
      <c r="A28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46"/>
    <col collapsed="false" customWidth="true" hidden="false" outlineLevel="0" max="3" min="2" style="5" width="12"/>
    <col collapsed="false" customWidth="true" hidden="false" outlineLevel="0" max="4" min="4" style="5" width="55"/>
    <col collapsed="false" customWidth="true" hidden="false" outlineLevel="0" max="11" min="5" style="5" width="12"/>
  </cols>
  <sheetData>
    <row r="1" customFormat="false" ht="17.25" hidden="false" customHeight="true" outlineLevel="0" collapsed="false">
      <c r="A1" s="6" t="s">
        <v>21</v>
      </c>
    </row>
    <row r="2" customFormat="false" ht="15" hidden="false" customHeight="true" outlineLevel="0" collapsed="false">
      <c r="A2" s="7" t="s">
        <v>22</v>
      </c>
    </row>
    <row r="4" customFormat="false" ht="15" hidden="false" customHeight="true" outlineLevel="0" collapsed="false">
      <c r="A4" s="8" t="s">
        <v>23</v>
      </c>
      <c r="B4" s="8"/>
      <c r="C4" s="8"/>
      <c r="D4" s="8"/>
      <c r="E4" s="8"/>
      <c r="F4" s="8"/>
    </row>
    <row r="5" customFormat="false" ht="15" hidden="false" customHeight="true" outlineLevel="0" collapsed="false">
      <c r="A5" s="5" t="s">
        <v>24</v>
      </c>
      <c r="B5" s="9" t="n">
        <v>6.08</v>
      </c>
      <c r="D5" s="7" t="s">
        <v>25</v>
      </c>
    </row>
    <row r="6" customFormat="false" ht="15" hidden="false" customHeight="true" outlineLevel="0" collapsed="false">
      <c r="A6" s="5" t="s">
        <v>26</v>
      </c>
      <c r="B6" s="9" t="n">
        <v>19.75</v>
      </c>
      <c r="D6" s="7" t="s">
        <v>25</v>
      </c>
    </row>
    <row r="7" customFormat="false" ht="15" hidden="false" customHeight="true" outlineLevel="0" collapsed="false">
      <c r="A7" s="5" t="s">
        <v>27</v>
      </c>
      <c r="B7" s="9" t="n">
        <v>7.08</v>
      </c>
      <c r="D7" s="7" t="s">
        <v>25</v>
      </c>
    </row>
    <row r="8" customFormat="false" ht="15" hidden="false" customHeight="true" outlineLevel="0" collapsed="false">
      <c r="A8" s="5" t="s">
        <v>28</v>
      </c>
      <c r="B8" s="9" t="n">
        <v>0.56</v>
      </c>
      <c r="D8" s="7" t="s">
        <v>29</v>
      </c>
    </row>
    <row r="9" customFormat="false" ht="15" hidden="false" customHeight="true" outlineLevel="0" collapsed="false">
      <c r="A9" s="5" t="s">
        <v>30</v>
      </c>
      <c r="B9" s="9" t="n">
        <v>0.79</v>
      </c>
      <c r="D9" s="7" t="s">
        <v>31</v>
      </c>
    </row>
    <row r="10" customFormat="false" ht="15" hidden="false" customHeight="true" outlineLevel="0" collapsed="false">
      <c r="A10" s="5" t="s">
        <v>32</v>
      </c>
      <c r="B10" s="10" t="n">
        <v>0.867</v>
      </c>
      <c r="D10" s="7" t="s">
        <v>33</v>
      </c>
    </row>
    <row r="11" customFormat="false" ht="15" hidden="false" customHeight="true" outlineLevel="0" collapsed="false">
      <c r="A11" s="5" t="s">
        <v>34</v>
      </c>
      <c r="B11" s="10" t="n">
        <v>0.5</v>
      </c>
      <c r="D11" s="7" t="s">
        <v>35</v>
      </c>
    </row>
    <row r="12" customFormat="false" ht="15" hidden="false" customHeight="true" outlineLevel="0" collapsed="false">
      <c r="A12" s="5" t="s">
        <v>36</v>
      </c>
      <c r="B12" s="11" t="n">
        <f aca="false">B10*B6+(1-B10)*B7</f>
        <v>18.06489</v>
      </c>
    </row>
    <row r="13" customFormat="false" ht="15" hidden="false" customHeight="true" outlineLevel="0" collapsed="false">
      <c r="A13" s="5" t="s">
        <v>37</v>
      </c>
      <c r="B13" s="11" t="n">
        <f aca="false">B11*B9+(1-B11)*B8</f>
        <v>0.675</v>
      </c>
    </row>
    <row r="15" customFormat="false" ht="15" hidden="false" customHeight="true" outlineLevel="0" collapsed="false">
      <c r="A15" s="8" t="s">
        <v>38</v>
      </c>
      <c r="B15" s="8"/>
      <c r="C15" s="8"/>
      <c r="D15" s="8"/>
      <c r="E15" s="8"/>
      <c r="F15" s="8"/>
    </row>
    <row r="16" customFormat="false" ht="15" hidden="false" customHeight="true" outlineLevel="0" collapsed="false">
      <c r="A16" s="5" t="s">
        <v>39</v>
      </c>
      <c r="B16" s="9" t="n">
        <v>625</v>
      </c>
      <c r="D16" s="7" t="s">
        <v>40</v>
      </c>
    </row>
    <row r="17" customFormat="false" ht="15" hidden="false" customHeight="true" outlineLevel="0" collapsed="false">
      <c r="A17" s="5" t="s">
        <v>41</v>
      </c>
      <c r="B17" s="12" t="n">
        <v>3</v>
      </c>
      <c r="D17" s="7" t="s">
        <v>42</v>
      </c>
    </row>
    <row r="18" customFormat="false" ht="15" hidden="false" customHeight="true" outlineLevel="0" collapsed="false">
      <c r="A18" s="5" t="s">
        <v>43</v>
      </c>
      <c r="B18" s="11" t="n">
        <f aca="false">B16/3</f>
        <v>208.333333333333</v>
      </c>
    </row>
    <row r="20" customFormat="false" ht="15" hidden="false" customHeight="true" outlineLevel="0" collapsed="false">
      <c r="A20" s="8" t="s">
        <v>44</v>
      </c>
      <c r="B20" s="8"/>
      <c r="C20" s="8"/>
      <c r="D20" s="8"/>
      <c r="E20" s="8"/>
      <c r="F20" s="8"/>
    </row>
    <row r="21" customFormat="false" ht="15" hidden="false" customHeight="true" outlineLevel="0" collapsed="false">
      <c r="A21" s="5" t="s">
        <v>45</v>
      </c>
      <c r="B21" s="10" t="n">
        <v>0.083</v>
      </c>
      <c r="D21" s="7" t="s">
        <v>46</v>
      </c>
    </row>
    <row r="22" customFormat="false" ht="15" hidden="false" customHeight="true" outlineLevel="0" collapsed="false">
      <c r="A22" s="5" t="s">
        <v>47</v>
      </c>
      <c r="B22" s="10" t="n">
        <v>0.31</v>
      </c>
      <c r="D22" s="7" t="s">
        <v>48</v>
      </c>
    </row>
    <row r="24" customFormat="false" ht="15" hidden="false" customHeight="true" outlineLevel="0" collapsed="false">
      <c r="A24" s="8" t="s">
        <v>49</v>
      </c>
      <c r="B24" s="8"/>
      <c r="C24" s="8"/>
      <c r="D24" s="8"/>
      <c r="E24" s="8"/>
      <c r="F24" s="8"/>
    </row>
    <row r="25" customFormat="false" ht="15" hidden="false" customHeight="true" outlineLevel="0" collapsed="false">
      <c r="A25" s="5" t="s">
        <v>50</v>
      </c>
      <c r="B25" s="13" t="n">
        <f aca="false">365.25/12</f>
        <v>30.4375</v>
      </c>
    </row>
    <row r="27" customFormat="false" ht="15" hidden="false" customHeight="true" outlineLevel="0" collapsed="false">
      <c r="A27" s="8" t="s">
        <v>51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30" hidden="false" customHeight="true" outlineLevel="0" collapsed="false">
      <c r="A28" s="14" t="s">
        <v>52</v>
      </c>
      <c r="B28" s="14" t="s">
        <v>53</v>
      </c>
      <c r="C28" s="14" t="s">
        <v>54</v>
      </c>
      <c r="D28" s="14" t="s">
        <v>55</v>
      </c>
      <c r="E28" s="14" t="s">
        <v>56</v>
      </c>
      <c r="F28" s="14" t="s">
        <v>57</v>
      </c>
      <c r="G28" s="14" t="s">
        <v>58</v>
      </c>
      <c r="H28" s="14" t="s">
        <v>59</v>
      </c>
      <c r="I28" s="14" t="s">
        <v>60</v>
      </c>
      <c r="J28" s="14" t="s">
        <v>61</v>
      </c>
      <c r="K28" s="14" t="s">
        <v>62</v>
      </c>
    </row>
    <row r="29" customFormat="false" ht="15" hidden="false" customHeight="true" outlineLevel="0" collapsed="false">
      <c r="A29" s="15" t="s">
        <v>63</v>
      </c>
      <c r="B29" s="16" t="n">
        <v>0.6</v>
      </c>
      <c r="C29" s="17" t="n">
        <v>0.8</v>
      </c>
      <c r="D29" s="17" t="n">
        <v>2.5</v>
      </c>
      <c r="E29" s="17" t="n">
        <v>3.5</v>
      </c>
      <c r="F29" s="17" t="n">
        <v>3.8</v>
      </c>
      <c r="G29" s="17" t="n">
        <v>5.8</v>
      </c>
      <c r="H29" s="17" t="n">
        <v>16.2</v>
      </c>
      <c r="I29" s="17" t="n">
        <v>4.8</v>
      </c>
      <c r="J29" s="17" t="n">
        <v>3.8</v>
      </c>
      <c r="K29" s="17" t="n">
        <v>16.3</v>
      </c>
    </row>
    <row r="30" customFormat="false" ht="15" hidden="false" customHeight="true" outlineLevel="0" collapsed="false">
      <c r="A30" s="15" t="s">
        <v>64</v>
      </c>
      <c r="B30" s="16" t="n">
        <v>0.47</v>
      </c>
      <c r="C30" s="17" t="n">
        <v>1</v>
      </c>
      <c r="D30" s="17" t="n">
        <v>3</v>
      </c>
      <c r="E30" s="17" t="n">
        <v>2.8</v>
      </c>
      <c r="F30" s="17" t="n">
        <v>2.5</v>
      </c>
      <c r="G30" s="17" t="n">
        <v>3.7</v>
      </c>
      <c r="H30" s="17" t="n">
        <v>12.2</v>
      </c>
      <c r="I30" s="17" t="n">
        <v>3.3</v>
      </c>
      <c r="J30" s="17" t="n">
        <v>2.9</v>
      </c>
      <c r="K30" s="17" t="n">
        <v>19.3</v>
      </c>
    </row>
    <row r="31" customFormat="false" ht="15" hidden="false" customHeight="true" outlineLevel="0" collapsed="false">
      <c r="A31" s="15" t="s">
        <v>65</v>
      </c>
      <c r="B31" s="16" t="n">
        <v>0.4</v>
      </c>
      <c r="C31" s="17" t="n">
        <v>0.6</v>
      </c>
      <c r="D31" s="17" t="n">
        <v>2.5</v>
      </c>
      <c r="E31" s="17" t="n">
        <v>2.2</v>
      </c>
      <c r="F31" s="17" t="n">
        <v>2.5</v>
      </c>
      <c r="G31" s="17" t="n">
        <v>4.1</v>
      </c>
      <c r="H31" s="17" t="n">
        <v>11.2</v>
      </c>
      <c r="I31" s="17" t="n">
        <v>3.8</v>
      </c>
      <c r="J31" s="17" t="n">
        <v>4.5</v>
      </c>
      <c r="K31" s="17" t="n">
        <v>18.6</v>
      </c>
    </row>
    <row r="32" customFormat="false" ht="15" hidden="false" customHeight="true" outlineLevel="0" collapsed="false">
      <c r="A32" s="15" t="s">
        <v>66</v>
      </c>
      <c r="B32" s="16" t="n">
        <v>0.24</v>
      </c>
      <c r="C32" s="17" t="n">
        <v>0</v>
      </c>
      <c r="D32" s="17" t="n">
        <v>2</v>
      </c>
      <c r="E32" s="17" t="n">
        <v>0.7</v>
      </c>
      <c r="F32" s="17" t="n">
        <v>2.2</v>
      </c>
      <c r="G32" s="17" t="n">
        <v>3.8</v>
      </c>
      <c r="H32" s="17" t="n">
        <v>9.2</v>
      </c>
      <c r="I32" s="17" t="n">
        <v>3.8</v>
      </c>
      <c r="J32" s="17" t="n">
        <v>5</v>
      </c>
      <c r="K32" s="17" t="n">
        <v>31</v>
      </c>
    </row>
    <row r="33" customFormat="false" ht="15" hidden="false" customHeight="true" outlineLevel="0" collapsed="false">
      <c r="A33" s="15" t="s">
        <v>67</v>
      </c>
      <c r="B33" s="16" t="n">
        <v>0.4</v>
      </c>
      <c r="C33" s="17" t="n">
        <v>1.6</v>
      </c>
      <c r="D33" s="17" t="n">
        <v>2.8</v>
      </c>
      <c r="E33" s="17" t="n">
        <v>6.5</v>
      </c>
      <c r="F33" s="17" t="n">
        <v>1.3</v>
      </c>
      <c r="G33" s="17" t="n">
        <v>7.5</v>
      </c>
      <c r="H33" s="17" t="n">
        <v>10.8</v>
      </c>
      <c r="I33" s="17" t="n">
        <v>1.3</v>
      </c>
      <c r="J33" s="17" t="n">
        <v>7.5</v>
      </c>
      <c r="K33" s="17" t="n">
        <v>10.8</v>
      </c>
    </row>
    <row r="35" customFormat="false" ht="15" hidden="false" customHeight="true" outlineLevel="0" collapsed="false">
      <c r="A35" s="8" t="s">
        <v>68</v>
      </c>
      <c r="B35" s="8"/>
      <c r="C35" s="8"/>
      <c r="D35" s="8"/>
    </row>
    <row r="36" customFormat="false" ht="15" hidden="false" customHeight="true" outlineLevel="0" collapsed="false">
      <c r="A36" s="18" t="s">
        <v>69</v>
      </c>
      <c r="B36" s="18" t="s">
        <v>70</v>
      </c>
      <c r="C36" s="18" t="s">
        <v>71</v>
      </c>
    </row>
    <row r="37" customFormat="false" ht="15" hidden="false" customHeight="true" outlineLevel="0" collapsed="false">
      <c r="A37" s="17" t="n">
        <v>1.3</v>
      </c>
      <c r="B37" s="17" t="n">
        <v>7.5</v>
      </c>
      <c r="C37" s="17" t="n">
        <v>10.8</v>
      </c>
    </row>
    <row r="39" customFormat="false" ht="15" hidden="false" customHeight="true" outlineLevel="0" collapsed="false">
      <c r="A39" s="8" t="s">
        <v>72</v>
      </c>
      <c r="B39" s="8"/>
      <c r="C39" s="8"/>
      <c r="D39" s="8"/>
      <c r="E39" s="8"/>
      <c r="F39" s="8"/>
    </row>
    <row r="40" customFormat="false" ht="15" hidden="false" customHeight="true" outlineLevel="0" collapsed="false">
      <c r="A40" s="5" t="s">
        <v>73</v>
      </c>
      <c r="B40" s="19" t="s">
        <v>65</v>
      </c>
      <c r="D40" s="7" t="s">
        <v>74</v>
      </c>
    </row>
    <row r="41" customFormat="false" ht="15" hidden="false" customHeight="true" outlineLevel="0" collapsed="false">
      <c r="A41" s="5" t="s">
        <v>75</v>
      </c>
      <c r="B41" s="19" t="s">
        <v>76</v>
      </c>
      <c r="D41" s="7" t="s">
        <v>77</v>
      </c>
    </row>
    <row r="42" customFormat="false" ht="15" hidden="false" customHeight="true" outlineLevel="0" collapsed="false">
      <c r="A42" s="5" t="s">
        <v>78</v>
      </c>
      <c r="B42" s="19" t="s">
        <v>79</v>
      </c>
      <c r="D42" s="7" t="s">
        <v>80</v>
      </c>
    </row>
    <row r="43" customFormat="false" ht="15" hidden="false" customHeight="true" outlineLevel="0" collapsed="false">
      <c r="A43" s="5" t="s">
        <v>81</v>
      </c>
      <c r="B43" s="19" t="s">
        <v>82</v>
      </c>
      <c r="D43" s="7" t="s">
        <v>83</v>
      </c>
    </row>
  </sheetData>
  <mergeCells count="7">
    <mergeCell ref="A4:F4"/>
    <mergeCell ref="A15:F15"/>
    <mergeCell ref="A20:F20"/>
    <mergeCell ref="A24:F24"/>
    <mergeCell ref="A27:K27"/>
    <mergeCell ref="A35:D35"/>
    <mergeCell ref="A39:F39"/>
  </mergeCells>
  <dataValidations count="4">
    <dataValidation allowBlank="false" errorStyle="stop" operator="between" showDropDown="false" showErrorMessage="false" showInputMessage="false" sqref="B40" type="list">
      <formula1>"25,40,50,65,50m"</formula1>
      <formula2>0</formula2>
    </dataValidation>
    <dataValidation allowBlank="false" errorStyle="stop" operator="between" showDropDown="false" showErrorMessage="false" showInputMessage="false" sqref="B41" type="list">
      <formula1>"none,constant,diminishing"</formula1>
      <formula2>0</formula2>
    </dataValidation>
    <dataValidation allowBlank="false" errorStyle="stop" operator="between" showDropDown="false" showErrorMessage="false" showInputMessage="false" sqref="B42" type="list">
      <formula1>"soc,baseline"</formula1>
      <formula2>0</formula2>
    </dataValidation>
    <dataValidation allowBlank="false" errorStyle="stop" operator="between" showDropDown="false" showErrorMessage="false" showInputMessage="false" sqref="B4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8"/>
    <col collapsed="false" customWidth="true" hidden="false" outlineLevel="0" max="2" min="2" style="5" width="12"/>
    <col collapsed="false" customWidth="true" hidden="false" outlineLevel="0" max="3" min="3" style="5" width="10"/>
    <col collapsed="false" customWidth="true" hidden="false" outlineLevel="0" max="4" min="4" style="5" width="14"/>
    <col collapsed="false" customWidth="true" hidden="false" outlineLevel="0" max="7" min="5" style="5" width="16"/>
    <col collapsed="false" customWidth="true" hidden="false" outlineLevel="0" max="8" min="8" style="5" width="10"/>
    <col collapsed="false" customWidth="true" hidden="false" outlineLevel="0" max="10" min="9" style="5" width="16"/>
  </cols>
  <sheetData>
    <row r="1" customFormat="false" ht="17.25" hidden="false" customHeight="true" outlineLevel="0" collapsed="false">
      <c r="A1" s="6" t="s">
        <v>84</v>
      </c>
    </row>
    <row r="2" customFormat="false" ht="15" hidden="false" customHeight="true" outlineLevel="0" collapsed="false">
      <c r="A2" s="7" t="s">
        <v>85</v>
      </c>
    </row>
    <row r="4" customFormat="false" ht="15" hidden="false" customHeight="true" outlineLevel="0" collapsed="false">
      <c r="A4" s="5" t="s">
        <v>86</v>
      </c>
      <c r="B4" s="20" t="str">
        <f aca="false">Inputs!$B$40</f>
        <v>50</v>
      </c>
      <c r="D4" s="5" t="s">
        <v>87</v>
      </c>
      <c r="E4" s="21" t="n">
        <f aca="false">VLOOKUP(Inputs!$B$40,Inputs!$A$29:$K$33,2,FALSE())</f>
        <v>0.4</v>
      </c>
    </row>
    <row r="5" customFormat="false" ht="15" hidden="false" customHeight="true" outlineLevel="0" collapsed="false">
      <c r="A5" s="5" t="s">
        <v>88</v>
      </c>
      <c r="B5" s="5" t="str">
        <f aca="false">Inputs!$B$41</f>
        <v>none</v>
      </c>
      <c r="D5" s="5" t="s">
        <v>89</v>
      </c>
      <c r="E5" s="21" t="n">
        <f aca="false">Inputs!$B$22</f>
        <v>0.31</v>
      </c>
    </row>
    <row r="6" customFormat="false" ht="15" hidden="false" customHeight="true" outlineLevel="0" collapsed="false">
      <c r="A6" s="5" t="s">
        <v>90</v>
      </c>
      <c r="B6" s="5" t="str">
        <f aca="false">Inputs!$B$42</f>
        <v>soc</v>
      </c>
      <c r="D6" s="5" t="s">
        <v>91</v>
      </c>
      <c r="E6" s="5" t="str">
        <f aca="false">Inputs!$B$43</f>
        <v>No</v>
      </c>
    </row>
    <row r="8" customFormat="false" ht="27.75" hidden="false" customHeight="true" outlineLevel="0" collapsed="false">
      <c r="A8" s="22" t="s">
        <v>92</v>
      </c>
      <c r="B8" s="22" t="s">
        <v>93</v>
      </c>
      <c r="C8" s="22" t="s">
        <v>94</v>
      </c>
      <c r="D8" s="22" t="s">
        <v>95</v>
      </c>
      <c r="E8" s="22" t="s">
        <v>96</v>
      </c>
      <c r="F8" s="22" t="s">
        <v>97</v>
      </c>
    </row>
    <row r="9" customFormat="false" ht="15" hidden="false" customHeight="true" outlineLevel="0" collapsed="false">
      <c r="A9" s="23" t="n">
        <v>1</v>
      </c>
      <c r="B9" s="24" t="b">
        <f aca="false">A9&lt;=Inputs!$B$17</f>
        <v>1</v>
      </c>
      <c r="C9" s="25" t="n">
        <f aca="false">VLOOKUP(Inputs!$B$40,Inputs!$A$29:$K$33,2,FALSE())</f>
        <v>0.4</v>
      </c>
      <c r="D9" s="26" t="n">
        <f aca="false">IF(B9,C9*(VLOOKUP(Inputs!$B$40,Inputs!$A$29:$K$33,3,FALSE())*(Inputs!$B$25/14)*Inputs!$B$5+VLOOKUP(Inputs!$B$40,Inputs!$A$29:$K$33,4,FALSE())*(Inputs!$B$25/14)*Inputs!$B$12+VLOOKUP(Inputs!$B$40,Inputs!$A$29:$K$33,5,FALSE())*(Inputs!$B$25/14)*Inputs!$B$13)+(1-C9)*(VLOOKUP(Inputs!$B$40,Inputs!$A$29:$K$33,6,FALSE())*(Inputs!$B$25/14)*Inputs!$B$5+VLOOKUP(Inputs!$B$40,Inputs!$A$29:$K$33,7,FALSE())*(Inputs!$B$25/14)*Inputs!$B$12+VLOOKUP(Inputs!$B$40,Inputs!$A$29:$K$33,8,FALSE())*(Inputs!$B$25/14)*Inputs!$B$13),C9*((VLOOKUP(Inputs!$B$40,Inputs!$A$29:$K$33,3,FALSE())*(Inputs!$B$25/14)*Inputs!$B$5+VLOOKUP(Inputs!$B$40,Inputs!$A$29:$K$33,4,FALSE())*(Inputs!$B$25/14)*Inputs!$B$12+VLOOKUP(Inputs!$B$40,Inputs!$A$29:$K$33,5,FALSE())*(Inputs!$B$25/14)*Inputs!$B$13)+Inputs!$B$18)+(1-C9)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170.045006016964</v>
      </c>
      <c r="E9" s="25" t="n">
        <f aca="false">IF(Inputs!$B$43="Yes",0,Inputs!$B$21)</f>
        <v>0.083</v>
      </c>
      <c r="F9" s="26" t="n">
        <f aca="false">E9*(VLOOKUP(Inputs!$B$40,Inputs!$A$29:$K$33,3,FALSE())*(Inputs!$B$25/14)*Inputs!$B$5+VLOOKUP(Inputs!$B$40,Inputs!$A$29:$K$33,4,FALSE())*(Inputs!$B$25/14)*Inputs!$B$12+VLOOKUP(Inputs!$B$40,Inputs!$A$29:$K$33,5,FALSE())*(Inputs!$B$25/14)*Inputs!$B$13)+(1-E9)*(INDEX(Inputs!$A$37:$C$37,1,1)*(Inputs!$B$25/14)*Inputs!$B$5+INDEX(Inputs!$A$37:$C$37,1,2)*(Inputs!$B$25/14)*Inputs!$B$12+INDEX(Inputs!$A$37:$C$37,1,3)*(Inputs!$B$25/14)*Inputs!$B$13)</f>
        <v>309.48128772567</v>
      </c>
    </row>
    <row r="10" customFormat="false" ht="15" hidden="false" customHeight="true" outlineLevel="0" collapsed="false">
      <c r="A10" s="23" t="n">
        <v>2</v>
      </c>
      <c r="B10" s="24" t="b">
        <f aca="false">A10&lt;=Inputs!$B$17</f>
        <v>1</v>
      </c>
      <c r="C10" s="25" t="n">
        <f aca="false">IF(Inputs!$B$41="none",IF(A10=2,C9*(1-Inputs!$B$22),C9),IF(Inputs!$B$41="constant",C9*(1-Inputs!$B$22),C9*(1-Inputs!$B$22*(0.9^(A10-2)))))</f>
        <v>0.276</v>
      </c>
      <c r="D10" s="26" t="n">
        <f aca="false">IF(B10,C10*(VLOOKUP(Inputs!$B$40,Inputs!$A$29:$K$33,3,FALSE())*(Inputs!$B$25/14)*Inputs!$B$5+VLOOKUP(Inputs!$B$40,Inputs!$A$29:$K$33,4,FALSE())*(Inputs!$B$25/14)*Inputs!$B$12+VLOOKUP(Inputs!$B$40,Inputs!$A$29:$K$33,5,FALSE())*(Inputs!$B$25/14)*Inputs!$B$13)+(1-C10)*(VLOOKUP(Inputs!$B$40,Inputs!$A$29:$K$33,6,FALSE())*(Inputs!$B$25/14)*Inputs!$B$5+VLOOKUP(Inputs!$B$40,Inputs!$A$29:$K$33,7,FALSE())*(Inputs!$B$25/14)*Inputs!$B$12+VLOOKUP(Inputs!$B$40,Inputs!$A$29:$K$33,8,FALSE())*(Inputs!$B$25/14)*Inputs!$B$13),C10*((VLOOKUP(Inputs!$B$40,Inputs!$A$29:$K$33,3,FALSE())*(Inputs!$B$25/14)*Inputs!$B$5+VLOOKUP(Inputs!$B$40,Inputs!$A$29:$K$33,4,FALSE())*(Inputs!$B$25/14)*Inputs!$B$12+VLOOKUP(Inputs!$B$40,Inputs!$A$29:$K$33,5,FALSE())*(Inputs!$B$25/14)*Inputs!$B$13)+Inputs!$B$18)+(1-C10)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182.589217622821</v>
      </c>
      <c r="E10" s="25" t="n">
        <f aca="false">0</f>
        <v>0</v>
      </c>
      <c r="F1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" customFormat="false" ht="15" hidden="false" customHeight="true" outlineLevel="0" collapsed="false">
      <c r="A11" s="23" t="n">
        <v>3</v>
      </c>
      <c r="B11" s="24" t="b">
        <f aca="false">A11&lt;=Inputs!$B$17</f>
        <v>1</v>
      </c>
      <c r="C11" s="25" t="n">
        <f aca="false">IF(Inputs!$B$41="none",IF(A11=2,C10*(1-Inputs!$B$22),C10),IF(Inputs!$B$41="constant",C10*(1-Inputs!$B$22),C10*(1-Inputs!$B$22*(0.9^(A11-2)))))</f>
        <v>0.276</v>
      </c>
      <c r="D11" s="26" t="n">
        <f aca="false">IF(B11,C11*(VLOOKUP(Inputs!$B$40,Inputs!$A$29:$K$33,3,FALSE())*(Inputs!$B$25/14)*Inputs!$B$5+VLOOKUP(Inputs!$B$40,Inputs!$A$29:$K$33,4,FALSE())*(Inputs!$B$25/14)*Inputs!$B$12+VLOOKUP(Inputs!$B$40,Inputs!$A$29:$K$33,5,FALSE())*(Inputs!$B$25/14)*Inputs!$B$13)+(1-C11)*(VLOOKUP(Inputs!$B$40,Inputs!$A$29:$K$33,6,FALSE())*(Inputs!$B$25/14)*Inputs!$B$5+VLOOKUP(Inputs!$B$40,Inputs!$A$29:$K$33,7,FALSE())*(Inputs!$B$25/14)*Inputs!$B$12+VLOOKUP(Inputs!$B$40,Inputs!$A$29:$K$33,8,FALSE())*(Inputs!$B$25/14)*Inputs!$B$13),C11*((VLOOKUP(Inputs!$B$40,Inputs!$A$29:$K$33,3,FALSE())*(Inputs!$B$25/14)*Inputs!$B$5+VLOOKUP(Inputs!$B$40,Inputs!$A$29:$K$33,4,FALSE())*(Inputs!$B$25/14)*Inputs!$B$12+VLOOKUP(Inputs!$B$40,Inputs!$A$29:$K$33,5,FALSE())*(Inputs!$B$25/14)*Inputs!$B$13)+Inputs!$B$18)+(1-C11)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182.589217622821</v>
      </c>
      <c r="E11" s="25" t="n">
        <f aca="false">0</f>
        <v>0</v>
      </c>
      <c r="F1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" customFormat="false" ht="15" hidden="false" customHeight="true" outlineLevel="0" collapsed="false">
      <c r="A12" s="23" t="n">
        <v>4</v>
      </c>
      <c r="B12" s="24" t="b">
        <f aca="false">A12&lt;=Inputs!$B$17</f>
        <v>0</v>
      </c>
      <c r="C12" s="25" t="n">
        <f aca="false">IF(Inputs!$B$41="none",IF(A12=2,C11*(1-Inputs!$B$22),C11),IF(Inputs!$B$41="constant",C11*(1-Inputs!$B$22),C11*(1-Inputs!$B$22*(0.9^(A12-2)))))</f>
        <v>0.276</v>
      </c>
      <c r="D12" s="26" t="n">
        <f aca="false">IF(B12,C12*(VLOOKUP(Inputs!$B$40,Inputs!$A$29:$K$33,3,FALSE())*(Inputs!$B$25/14)*Inputs!$B$5+VLOOKUP(Inputs!$B$40,Inputs!$A$29:$K$33,4,FALSE())*(Inputs!$B$25/14)*Inputs!$B$12+VLOOKUP(Inputs!$B$40,Inputs!$A$29:$K$33,5,FALSE())*(Inputs!$B$25/14)*Inputs!$B$13)+(1-C12)*(VLOOKUP(Inputs!$B$40,Inputs!$A$29:$K$33,6,FALSE())*(Inputs!$B$25/14)*Inputs!$B$5+VLOOKUP(Inputs!$B$40,Inputs!$A$29:$K$33,7,FALSE())*(Inputs!$B$25/14)*Inputs!$B$12+VLOOKUP(Inputs!$B$40,Inputs!$A$29:$K$33,8,FALSE())*(Inputs!$B$25/14)*Inputs!$B$13),C12*((VLOOKUP(Inputs!$B$40,Inputs!$A$29:$K$33,3,FALSE())*(Inputs!$B$25/14)*Inputs!$B$5+VLOOKUP(Inputs!$B$40,Inputs!$A$29:$K$33,4,FALSE())*(Inputs!$B$25/14)*Inputs!$B$12+VLOOKUP(Inputs!$B$40,Inputs!$A$29:$K$33,5,FALSE())*(Inputs!$B$25/14)*Inputs!$B$13)+Inputs!$B$18)+(1-C12)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2" s="25" t="n">
        <f aca="false">0</f>
        <v>0</v>
      </c>
      <c r="F1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3" customFormat="false" ht="15" hidden="false" customHeight="true" outlineLevel="0" collapsed="false">
      <c r="A13" s="23" t="n">
        <v>5</v>
      </c>
      <c r="B13" s="24" t="b">
        <f aca="false">A13&lt;=Inputs!$B$17</f>
        <v>0</v>
      </c>
      <c r="C13" s="25" t="n">
        <f aca="false">IF(Inputs!$B$41="none",IF(A13=2,C12*(1-Inputs!$B$22),C12),IF(Inputs!$B$41="constant",C12*(1-Inputs!$B$22),C12*(1-Inputs!$B$22*(0.9^(A13-2)))))</f>
        <v>0.276</v>
      </c>
      <c r="D13" s="26" t="n">
        <f aca="false">IF(B13,C13*(VLOOKUP(Inputs!$B$40,Inputs!$A$29:$K$33,3,FALSE())*(Inputs!$B$25/14)*Inputs!$B$5+VLOOKUP(Inputs!$B$40,Inputs!$A$29:$K$33,4,FALSE())*(Inputs!$B$25/14)*Inputs!$B$12+VLOOKUP(Inputs!$B$40,Inputs!$A$29:$K$33,5,FALSE())*(Inputs!$B$25/14)*Inputs!$B$13)+(1-C13)*(VLOOKUP(Inputs!$B$40,Inputs!$A$29:$K$33,6,FALSE())*(Inputs!$B$25/14)*Inputs!$B$5+VLOOKUP(Inputs!$B$40,Inputs!$A$29:$K$33,7,FALSE())*(Inputs!$B$25/14)*Inputs!$B$12+VLOOKUP(Inputs!$B$40,Inputs!$A$29:$K$33,8,FALSE())*(Inputs!$B$25/14)*Inputs!$B$13),C13*((VLOOKUP(Inputs!$B$40,Inputs!$A$29:$K$33,3,FALSE())*(Inputs!$B$25/14)*Inputs!$B$5+VLOOKUP(Inputs!$B$40,Inputs!$A$29:$K$33,4,FALSE())*(Inputs!$B$25/14)*Inputs!$B$12+VLOOKUP(Inputs!$B$40,Inputs!$A$29:$K$33,5,FALSE())*(Inputs!$B$25/14)*Inputs!$B$13)+Inputs!$B$18)+(1-C13)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3" s="25" t="n">
        <f aca="false">0</f>
        <v>0</v>
      </c>
      <c r="F1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" customFormat="false" ht="15" hidden="false" customHeight="true" outlineLevel="0" collapsed="false">
      <c r="A14" s="23" t="n">
        <v>6</v>
      </c>
      <c r="B14" s="24" t="b">
        <f aca="false">A14&lt;=Inputs!$B$17</f>
        <v>0</v>
      </c>
      <c r="C14" s="25" t="n">
        <f aca="false">IF(Inputs!$B$41="none",IF(A14=2,C13*(1-Inputs!$B$22),C13),IF(Inputs!$B$41="constant",C13*(1-Inputs!$B$22),C13*(1-Inputs!$B$22*(0.9^(A14-2)))))</f>
        <v>0.276</v>
      </c>
      <c r="D14" s="26" t="n">
        <f aca="false">IF(B14,C14*(VLOOKUP(Inputs!$B$40,Inputs!$A$29:$K$33,3,FALSE())*(Inputs!$B$25/14)*Inputs!$B$5+VLOOKUP(Inputs!$B$40,Inputs!$A$29:$K$33,4,FALSE())*(Inputs!$B$25/14)*Inputs!$B$12+VLOOKUP(Inputs!$B$40,Inputs!$A$29:$K$33,5,FALSE())*(Inputs!$B$25/14)*Inputs!$B$13)+(1-C14)*(VLOOKUP(Inputs!$B$40,Inputs!$A$29:$K$33,6,FALSE())*(Inputs!$B$25/14)*Inputs!$B$5+VLOOKUP(Inputs!$B$40,Inputs!$A$29:$K$33,7,FALSE())*(Inputs!$B$25/14)*Inputs!$B$12+VLOOKUP(Inputs!$B$40,Inputs!$A$29:$K$33,8,FALSE())*(Inputs!$B$25/14)*Inputs!$B$13),C14*((VLOOKUP(Inputs!$B$40,Inputs!$A$29:$K$33,3,FALSE())*(Inputs!$B$25/14)*Inputs!$B$5+VLOOKUP(Inputs!$B$40,Inputs!$A$29:$K$33,4,FALSE())*(Inputs!$B$25/14)*Inputs!$B$12+VLOOKUP(Inputs!$B$40,Inputs!$A$29:$K$33,5,FALSE())*(Inputs!$B$25/14)*Inputs!$B$13)+Inputs!$B$18)+(1-C14)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4" s="25" t="n">
        <f aca="false">0</f>
        <v>0</v>
      </c>
      <c r="F1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5" customFormat="false" ht="15" hidden="false" customHeight="true" outlineLevel="0" collapsed="false">
      <c r="A15" s="23" t="n">
        <v>7</v>
      </c>
      <c r="B15" s="24" t="b">
        <f aca="false">A15&lt;=Inputs!$B$17</f>
        <v>0</v>
      </c>
      <c r="C15" s="25" t="n">
        <f aca="false">IF(Inputs!$B$41="none",IF(A15=2,C14*(1-Inputs!$B$22),C14),IF(Inputs!$B$41="constant",C14*(1-Inputs!$B$22),C14*(1-Inputs!$B$22*(0.9^(A15-2)))))</f>
        <v>0.276</v>
      </c>
      <c r="D15" s="26" t="n">
        <f aca="false">IF(B15,C15*(VLOOKUP(Inputs!$B$40,Inputs!$A$29:$K$33,3,FALSE())*(Inputs!$B$25/14)*Inputs!$B$5+VLOOKUP(Inputs!$B$40,Inputs!$A$29:$K$33,4,FALSE())*(Inputs!$B$25/14)*Inputs!$B$12+VLOOKUP(Inputs!$B$40,Inputs!$A$29:$K$33,5,FALSE())*(Inputs!$B$25/14)*Inputs!$B$13)+(1-C15)*(VLOOKUP(Inputs!$B$40,Inputs!$A$29:$K$33,6,FALSE())*(Inputs!$B$25/14)*Inputs!$B$5+VLOOKUP(Inputs!$B$40,Inputs!$A$29:$K$33,7,FALSE())*(Inputs!$B$25/14)*Inputs!$B$12+VLOOKUP(Inputs!$B$40,Inputs!$A$29:$K$33,8,FALSE())*(Inputs!$B$25/14)*Inputs!$B$13),C15*((VLOOKUP(Inputs!$B$40,Inputs!$A$29:$K$33,3,FALSE())*(Inputs!$B$25/14)*Inputs!$B$5+VLOOKUP(Inputs!$B$40,Inputs!$A$29:$K$33,4,FALSE())*(Inputs!$B$25/14)*Inputs!$B$12+VLOOKUP(Inputs!$B$40,Inputs!$A$29:$K$33,5,FALSE())*(Inputs!$B$25/14)*Inputs!$B$13)+Inputs!$B$18)+(1-C15)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5" s="25" t="n">
        <f aca="false">0</f>
        <v>0</v>
      </c>
      <c r="F1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" customFormat="false" ht="15" hidden="false" customHeight="true" outlineLevel="0" collapsed="false">
      <c r="A16" s="23" t="n">
        <v>8</v>
      </c>
      <c r="B16" s="24" t="b">
        <f aca="false">A16&lt;=Inputs!$B$17</f>
        <v>0</v>
      </c>
      <c r="C16" s="25" t="n">
        <f aca="false">IF(Inputs!$B$41="none",IF(A16=2,C15*(1-Inputs!$B$22),C15),IF(Inputs!$B$41="constant",C15*(1-Inputs!$B$22),C15*(1-Inputs!$B$22*(0.9^(A16-2)))))</f>
        <v>0.276</v>
      </c>
      <c r="D16" s="26" t="n">
        <f aca="false">IF(B16,C16*(VLOOKUP(Inputs!$B$40,Inputs!$A$29:$K$33,3,FALSE())*(Inputs!$B$25/14)*Inputs!$B$5+VLOOKUP(Inputs!$B$40,Inputs!$A$29:$K$33,4,FALSE())*(Inputs!$B$25/14)*Inputs!$B$12+VLOOKUP(Inputs!$B$40,Inputs!$A$29:$K$33,5,FALSE())*(Inputs!$B$25/14)*Inputs!$B$13)+(1-C16)*(VLOOKUP(Inputs!$B$40,Inputs!$A$29:$K$33,6,FALSE())*(Inputs!$B$25/14)*Inputs!$B$5+VLOOKUP(Inputs!$B$40,Inputs!$A$29:$K$33,7,FALSE())*(Inputs!$B$25/14)*Inputs!$B$12+VLOOKUP(Inputs!$B$40,Inputs!$A$29:$K$33,8,FALSE())*(Inputs!$B$25/14)*Inputs!$B$13),C16*((VLOOKUP(Inputs!$B$40,Inputs!$A$29:$K$33,3,FALSE())*(Inputs!$B$25/14)*Inputs!$B$5+VLOOKUP(Inputs!$B$40,Inputs!$A$29:$K$33,4,FALSE())*(Inputs!$B$25/14)*Inputs!$B$12+VLOOKUP(Inputs!$B$40,Inputs!$A$29:$K$33,5,FALSE())*(Inputs!$B$25/14)*Inputs!$B$13)+Inputs!$B$18)+(1-C16)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6" s="25" t="n">
        <f aca="false">0</f>
        <v>0</v>
      </c>
      <c r="F1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" customFormat="false" ht="15" hidden="false" customHeight="true" outlineLevel="0" collapsed="false">
      <c r="A17" s="23" t="n">
        <v>9</v>
      </c>
      <c r="B17" s="24" t="b">
        <f aca="false">A17&lt;=Inputs!$B$17</f>
        <v>0</v>
      </c>
      <c r="C17" s="25" t="n">
        <f aca="false">IF(Inputs!$B$41="none",IF(A17=2,C16*(1-Inputs!$B$22),C16),IF(Inputs!$B$41="constant",C16*(1-Inputs!$B$22),C16*(1-Inputs!$B$22*(0.9^(A17-2)))))</f>
        <v>0.276</v>
      </c>
      <c r="D17" s="26" t="n">
        <f aca="false">IF(B17,C17*(VLOOKUP(Inputs!$B$40,Inputs!$A$29:$K$33,3,FALSE())*(Inputs!$B$25/14)*Inputs!$B$5+VLOOKUP(Inputs!$B$40,Inputs!$A$29:$K$33,4,FALSE())*(Inputs!$B$25/14)*Inputs!$B$12+VLOOKUP(Inputs!$B$40,Inputs!$A$29:$K$33,5,FALSE())*(Inputs!$B$25/14)*Inputs!$B$13)+(1-C17)*(VLOOKUP(Inputs!$B$40,Inputs!$A$29:$K$33,6,FALSE())*(Inputs!$B$25/14)*Inputs!$B$5+VLOOKUP(Inputs!$B$40,Inputs!$A$29:$K$33,7,FALSE())*(Inputs!$B$25/14)*Inputs!$B$12+VLOOKUP(Inputs!$B$40,Inputs!$A$29:$K$33,8,FALSE())*(Inputs!$B$25/14)*Inputs!$B$13),C17*((VLOOKUP(Inputs!$B$40,Inputs!$A$29:$K$33,3,FALSE())*(Inputs!$B$25/14)*Inputs!$B$5+VLOOKUP(Inputs!$B$40,Inputs!$A$29:$K$33,4,FALSE())*(Inputs!$B$25/14)*Inputs!$B$12+VLOOKUP(Inputs!$B$40,Inputs!$A$29:$K$33,5,FALSE())*(Inputs!$B$25/14)*Inputs!$B$13)+Inputs!$B$18)+(1-C17)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7" s="25" t="n">
        <f aca="false">0</f>
        <v>0</v>
      </c>
      <c r="F1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8" customFormat="false" ht="15" hidden="false" customHeight="true" outlineLevel="0" collapsed="false">
      <c r="A18" s="23" t="n">
        <v>10</v>
      </c>
      <c r="B18" s="24" t="b">
        <f aca="false">A18&lt;=Inputs!$B$17</f>
        <v>0</v>
      </c>
      <c r="C18" s="25" t="n">
        <f aca="false">IF(Inputs!$B$41="none",IF(A18=2,C17*(1-Inputs!$B$22),C17),IF(Inputs!$B$41="constant",C17*(1-Inputs!$B$22),C17*(1-Inputs!$B$22*(0.9^(A18-2)))))</f>
        <v>0.276</v>
      </c>
      <c r="D18" s="26" t="n">
        <f aca="false">IF(B18,C18*(VLOOKUP(Inputs!$B$40,Inputs!$A$29:$K$33,3,FALSE())*(Inputs!$B$25/14)*Inputs!$B$5+VLOOKUP(Inputs!$B$40,Inputs!$A$29:$K$33,4,FALSE())*(Inputs!$B$25/14)*Inputs!$B$12+VLOOKUP(Inputs!$B$40,Inputs!$A$29:$K$33,5,FALSE())*(Inputs!$B$25/14)*Inputs!$B$13)+(1-C18)*(VLOOKUP(Inputs!$B$40,Inputs!$A$29:$K$33,6,FALSE())*(Inputs!$B$25/14)*Inputs!$B$5+VLOOKUP(Inputs!$B$40,Inputs!$A$29:$K$33,7,FALSE())*(Inputs!$B$25/14)*Inputs!$B$12+VLOOKUP(Inputs!$B$40,Inputs!$A$29:$K$33,8,FALSE())*(Inputs!$B$25/14)*Inputs!$B$13),C18*((VLOOKUP(Inputs!$B$40,Inputs!$A$29:$K$33,3,FALSE())*(Inputs!$B$25/14)*Inputs!$B$5+VLOOKUP(Inputs!$B$40,Inputs!$A$29:$K$33,4,FALSE())*(Inputs!$B$25/14)*Inputs!$B$12+VLOOKUP(Inputs!$B$40,Inputs!$A$29:$K$33,5,FALSE())*(Inputs!$B$25/14)*Inputs!$B$13)+Inputs!$B$18)+(1-C18)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8" s="25" t="n">
        <f aca="false">0</f>
        <v>0</v>
      </c>
      <c r="F1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" customFormat="false" ht="15" hidden="false" customHeight="true" outlineLevel="0" collapsed="false">
      <c r="A19" s="23" t="n">
        <v>11</v>
      </c>
      <c r="B19" s="24" t="b">
        <f aca="false">A19&lt;=Inputs!$B$17</f>
        <v>0</v>
      </c>
      <c r="C19" s="25" t="n">
        <f aca="false">IF(Inputs!$B$41="none",IF(A19=2,C18*(1-Inputs!$B$22),C18),IF(Inputs!$B$41="constant",C18*(1-Inputs!$B$22),C18*(1-Inputs!$B$22*(0.9^(A19-2)))))</f>
        <v>0.276</v>
      </c>
      <c r="D19" s="26" t="n">
        <f aca="false">IF(B19,C19*(VLOOKUP(Inputs!$B$40,Inputs!$A$29:$K$33,3,FALSE())*(Inputs!$B$25/14)*Inputs!$B$5+VLOOKUP(Inputs!$B$40,Inputs!$A$29:$K$33,4,FALSE())*(Inputs!$B$25/14)*Inputs!$B$12+VLOOKUP(Inputs!$B$40,Inputs!$A$29:$K$33,5,FALSE())*(Inputs!$B$25/14)*Inputs!$B$13)+(1-C19)*(VLOOKUP(Inputs!$B$40,Inputs!$A$29:$K$33,6,FALSE())*(Inputs!$B$25/14)*Inputs!$B$5+VLOOKUP(Inputs!$B$40,Inputs!$A$29:$K$33,7,FALSE())*(Inputs!$B$25/14)*Inputs!$B$12+VLOOKUP(Inputs!$B$40,Inputs!$A$29:$K$33,8,FALSE())*(Inputs!$B$25/14)*Inputs!$B$13),C19*((VLOOKUP(Inputs!$B$40,Inputs!$A$29:$K$33,3,FALSE())*(Inputs!$B$25/14)*Inputs!$B$5+VLOOKUP(Inputs!$B$40,Inputs!$A$29:$K$33,4,FALSE())*(Inputs!$B$25/14)*Inputs!$B$12+VLOOKUP(Inputs!$B$40,Inputs!$A$29:$K$33,5,FALSE())*(Inputs!$B$25/14)*Inputs!$B$13)+Inputs!$B$18)+(1-C19)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19" s="25" t="n">
        <f aca="false">0</f>
        <v>0</v>
      </c>
      <c r="F1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" customFormat="false" ht="15" hidden="false" customHeight="true" outlineLevel="0" collapsed="false">
      <c r="A20" s="23" t="n">
        <v>12</v>
      </c>
      <c r="B20" s="24" t="b">
        <f aca="false">A20&lt;=Inputs!$B$17</f>
        <v>0</v>
      </c>
      <c r="C20" s="25" t="n">
        <f aca="false">IF(Inputs!$B$41="none",IF(A20=2,C19*(1-Inputs!$B$22),C19),IF(Inputs!$B$41="constant",C19*(1-Inputs!$B$22),C19*(1-Inputs!$B$22*(0.9^(A20-2)))))</f>
        <v>0.276</v>
      </c>
      <c r="D20" s="26" t="n">
        <f aca="false">IF(B20,C20*(VLOOKUP(Inputs!$B$40,Inputs!$A$29:$K$33,3,FALSE())*(Inputs!$B$25/14)*Inputs!$B$5+VLOOKUP(Inputs!$B$40,Inputs!$A$29:$K$33,4,FALSE())*(Inputs!$B$25/14)*Inputs!$B$12+VLOOKUP(Inputs!$B$40,Inputs!$A$29:$K$33,5,FALSE())*(Inputs!$B$25/14)*Inputs!$B$13)+(1-C20)*(VLOOKUP(Inputs!$B$40,Inputs!$A$29:$K$33,6,FALSE())*(Inputs!$B$25/14)*Inputs!$B$5+VLOOKUP(Inputs!$B$40,Inputs!$A$29:$K$33,7,FALSE())*(Inputs!$B$25/14)*Inputs!$B$12+VLOOKUP(Inputs!$B$40,Inputs!$A$29:$K$33,8,FALSE())*(Inputs!$B$25/14)*Inputs!$B$13),C20*((VLOOKUP(Inputs!$B$40,Inputs!$A$29:$K$33,3,FALSE())*(Inputs!$B$25/14)*Inputs!$B$5+VLOOKUP(Inputs!$B$40,Inputs!$A$29:$K$33,4,FALSE())*(Inputs!$B$25/14)*Inputs!$B$12+VLOOKUP(Inputs!$B$40,Inputs!$A$29:$K$33,5,FALSE())*(Inputs!$B$25/14)*Inputs!$B$13)+Inputs!$B$18)+(1-C20)*IF(Inputs!$B$42="soc",(INDEX(Inputs!$A$37:$C$37,1,1)*(Inputs!$B$25/14)*Inputs!$B$5+INDEX(Inputs!$A$37:$C$37,1,2)*(Inputs!$B$25/14)*Inputs!$B$12+INDEX(Inputs!$A$37:$C$37,1,3)*(Inputs!$B$25/14)*Inputs!$B$13),(VLOOKUP(Inputs!$B$40,Inputs!$A$29:$K$33,9,FALSE())*(Inputs!$B$25/14)*Inputs!$B$5+VLOOKUP(Inputs!$B$40,Inputs!$A$29:$K$33,10,FALSE())*(Inputs!$B$25/14)*Inputs!$B$12+VLOOKUP(Inputs!$B$40,Inputs!$A$29:$K$33,11,FALSE())*(Inputs!$B$25/14)*Inputs!$B$13)))</f>
        <v>324.859284016071</v>
      </c>
      <c r="E20" s="25" t="n">
        <f aca="false">0</f>
        <v>0</v>
      </c>
      <c r="F2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" customFormat="false" ht="15" hidden="false" customHeight="true" outlineLevel="0" collapsed="false">
      <c r="A22" s="27" t="s">
        <v>98</v>
      </c>
      <c r="D22" s="28" t="n">
        <f aca="false">SUM(D9:D20)</f>
        <v>3458.95699740725</v>
      </c>
      <c r="F22" s="28" t="n">
        <f aca="false">SUM(F9:F20)</f>
        <v>3913.03653761406</v>
      </c>
    </row>
    <row r="23" customFormat="false" ht="15" hidden="false" customHeight="true" outlineLevel="0" collapsed="false">
      <c r="A23" s="27" t="s">
        <v>99</v>
      </c>
      <c r="D23" s="29" t="n">
        <f aca="false">D22-F22</f>
        <v>-454.079540206813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30"/>
    <col collapsed="false" customWidth="true" hidden="false" outlineLevel="0" max="4" min="2" style="5" width="18"/>
    <col collapsed="false" customWidth="true" hidden="false" outlineLevel="0" max="5" min="5" style="5" width="45"/>
  </cols>
  <sheetData>
    <row r="1" customFormat="false" ht="17.25" hidden="false" customHeight="true" outlineLevel="0" collapsed="false">
      <c r="A1" s="6" t="s">
        <v>100</v>
      </c>
    </row>
    <row r="2" customFormat="false" ht="15" hidden="false" customHeight="true" outlineLevel="0" collapsed="false">
      <c r="A2" s="7" t="s">
        <v>101</v>
      </c>
    </row>
    <row r="4" customFormat="false" ht="15" hidden="false" customHeight="true" outlineLevel="0" collapsed="false">
      <c r="A4" s="8" t="s">
        <v>102</v>
      </c>
      <c r="B4" s="8"/>
      <c r="C4" s="8"/>
      <c r="D4" s="8"/>
      <c r="E4" s="8"/>
    </row>
    <row r="5" customFormat="false" ht="15" hidden="false" customHeight="true" outlineLevel="0" collapsed="false">
      <c r="A5" s="30"/>
      <c r="B5" s="30" t="s">
        <v>103</v>
      </c>
      <c r="C5" s="30" t="s">
        <v>104</v>
      </c>
      <c r="D5" s="30" t="s">
        <v>105</v>
      </c>
      <c r="E5" s="30" t="s">
        <v>106</v>
      </c>
    </row>
    <row r="6" customFormat="false" ht="15" hidden="false" customHeight="true" outlineLevel="0" collapsed="false">
      <c r="A6" s="23" t="s">
        <v>107</v>
      </c>
      <c r="B6" s="26" t="n">
        <f aca="false">Model!D22</f>
        <v>3458.95699740725</v>
      </c>
      <c r="C6" s="26" t="n">
        <f aca="false">Model!F22</f>
        <v>3913.03653761406</v>
      </c>
      <c r="D6" s="31" t="n">
        <f aca="false">B6-C6</f>
        <v>-454.079540206813</v>
      </c>
      <c r="E6" s="23"/>
    </row>
    <row r="7" customFormat="false" ht="15" hidden="false" customHeight="true" outlineLevel="0" collapsed="false">
      <c r="A7" s="23" t="s">
        <v>108</v>
      </c>
      <c r="B7" s="26" t="n">
        <v>3448.45</v>
      </c>
      <c r="C7" s="26" t="n">
        <v>3898.86</v>
      </c>
      <c r="D7" s="31" t="n">
        <v>-450.42</v>
      </c>
      <c r="E7" s="32" t="s">
        <v>109</v>
      </c>
    </row>
    <row r="8" customFormat="false" ht="15" hidden="false" customHeight="true" outlineLevel="0" collapsed="false">
      <c r="A8" s="23" t="s">
        <v>110</v>
      </c>
      <c r="B8" s="23"/>
      <c r="C8" s="23"/>
      <c r="D8" s="31" t="n">
        <f aca="false">B6-B7</f>
        <v>10.5069974072499</v>
      </c>
      <c r="E8" s="32" t="s">
        <v>111</v>
      </c>
    </row>
    <row r="9" customFormat="false" ht="15" hidden="false" customHeight="true" outlineLevel="0" collapsed="false">
      <c r="A9" s="23"/>
      <c r="B9" s="23"/>
      <c r="C9" s="23"/>
      <c r="D9" s="23"/>
      <c r="E9" s="23"/>
    </row>
    <row r="10" customFormat="false" ht="15" hidden="false" customHeight="true" outlineLevel="0" collapsed="false">
      <c r="A10" s="33" t="s">
        <v>112</v>
      </c>
      <c r="B10" s="33"/>
      <c r="C10" s="33"/>
      <c r="D10" s="33"/>
      <c r="E10" s="33"/>
    </row>
    <row r="11" customFormat="false" ht="15" hidden="false" customHeight="true" outlineLevel="0" collapsed="false">
      <c r="A11" s="30" t="s">
        <v>113</v>
      </c>
      <c r="B11" s="30" t="s">
        <v>103</v>
      </c>
      <c r="C11" s="30" t="s">
        <v>114</v>
      </c>
      <c r="D11" s="30" t="s">
        <v>115</v>
      </c>
      <c r="E11" s="30" t="s">
        <v>116</v>
      </c>
    </row>
    <row r="12" customFormat="false" ht="15" hidden="false" customHeight="true" outlineLevel="0" collapsed="false">
      <c r="A12" s="23" t="s">
        <v>117</v>
      </c>
      <c r="B12" s="26" t="n">
        <f aca="false">IF(Model!B9,0,Model!C9*Inputs!$B$18)+IF(Model!B10,0,Model!C10*Inputs!$B$18)+IF(Model!B11,0,Model!C11*Inputs!$B$18)+IF(Model!B12,0,Model!C12*Inputs!$B$18)+IF(Model!B13,0,Model!C13*Inputs!$B$18)+IF(Model!B14,0,Model!C14*Inputs!$B$18)+IF(Model!B15,0,Model!C15*Inputs!$B$18)+IF(Model!B16,0,Model!C16*Inputs!$B$18)+IF(Model!B17,0,Model!C17*Inputs!$B$18)+IF(Model!B18,0,Model!C18*Inputs!$B$18)+IF(Model!B19,0,Model!C19*Inputs!$B$18)+IF(Model!B20,0,Model!C20*Inputs!$B$18)</f>
        <v>517.5</v>
      </c>
      <c r="C12" s="26" t="n">
        <v>0</v>
      </c>
      <c r="D12" s="31" t="n">
        <f aca="false">B12-C12</f>
        <v>517.5</v>
      </c>
      <c r="E12" s="32" t="s">
        <v>118</v>
      </c>
    </row>
    <row r="13" customFormat="false" ht="15" hidden="false" customHeight="true" outlineLevel="0" collapsed="false">
      <c r="A13" s="23" t="s">
        <v>119</v>
      </c>
      <c r="B13" s="26" t="n">
        <f aca="false">IF(Model!B9,Model!C9*(VLOOKUP(Inputs!$B$40,Inputs!$A$29:$K$33,3,FALSE())*(Inputs!$B$25/14)*Inputs!$B$5)+(1-Model!C9)*(VLOOKUP(Inputs!$B$40,Inputs!$A$29:$K$33,6,FALSE())*(Inputs!$B$25/14)*Inputs!$B$5),Model!C9*(VLOOKUP(Inputs!$B$40,Inputs!$A$29:$K$33,3,FALSE())*(Inputs!$B$25/14)*Inputs!$B$5)+(1-Model!C9)*(IF(Inputs!$B$42="soc",INDEX(Inputs!$A$37:$C$37,1,1)*(Inputs!$B$25/14)*Inputs!$B$5,VLOOKUP(Inputs!$B$40,Inputs!$A$29:$K$33,9,FALSE())*(Inputs!$B$25/14)*Inputs!$B$5)))+IF(Model!B10,Model!C10*(VLOOKUP(Inputs!$B$40,Inputs!$A$29:$K$33,3,FALSE())*(Inputs!$B$25/14)*Inputs!$B$5)+(1-Model!C10)*(VLOOKUP(Inputs!$B$40,Inputs!$A$29:$K$33,6,FALSE())*(Inputs!$B$25/14)*Inputs!$B$5),Model!C10*(VLOOKUP(Inputs!$B$40,Inputs!$A$29:$K$33,3,FALSE())*(Inputs!$B$25/14)*Inputs!$B$5)+(1-Model!C10)*(IF(Inputs!$B$42="soc",INDEX(Inputs!$A$37:$C$37,1,1)*(Inputs!$B$25/14)*Inputs!$B$5,VLOOKUP(Inputs!$B$40,Inputs!$A$29:$K$33,9,FALSE())*(Inputs!$B$25/14)*Inputs!$B$5)))+IF(Model!B11,Model!C11*(VLOOKUP(Inputs!$B$40,Inputs!$A$29:$K$33,3,FALSE())*(Inputs!$B$25/14)*Inputs!$B$5)+(1-Model!C11)*(VLOOKUP(Inputs!$B$40,Inputs!$A$29:$K$33,6,FALSE())*(Inputs!$B$25/14)*Inputs!$B$5),Model!C11*(VLOOKUP(Inputs!$B$40,Inputs!$A$29:$K$33,3,FALSE())*(Inputs!$B$25/14)*Inputs!$B$5)+(1-Model!C11)*(IF(Inputs!$B$42="soc",INDEX(Inputs!$A$37:$C$37,1,1)*(Inputs!$B$25/14)*Inputs!$B$5,VLOOKUP(Inputs!$B$40,Inputs!$A$29:$K$33,9,FALSE())*(Inputs!$B$25/14)*Inputs!$B$5)))+IF(Model!B12,Model!C12*(VLOOKUP(Inputs!$B$40,Inputs!$A$29:$K$33,3,FALSE())*(Inputs!$B$25/14)*Inputs!$B$5)+(1-Model!C12)*(VLOOKUP(Inputs!$B$40,Inputs!$A$29:$K$33,6,FALSE())*(Inputs!$B$25/14)*Inputs!$B$5),Model!C12*(VLOOKUP(Inputs!$B$40,Inputs!$A$29:$K$33,3,FALSE())*(Inputs!$B$25/14)*Inputs!$B$5)+(1-Model!C12)*(IF(Inputs!$B$42="soc",INDEX(Inputs!$A$37:$C$37,1,1)*(Inputs!$B$25/14)*Inputs!$B$5,VLOOKUP(Inputs!$B$40,Inputs!$A$29:$K$33,9,FALSE())*(Inputs!$B$25/14)*Inputs!$B$5)))+IF(Model!B13,Model!C13*(VLOOKUP(Inputs!$B$40,Inputs!$A$29:$K$33,3,FALSE())*(Inputs!$B$25/14)*Inputs!$B$5)+(1-Model!C13)*(VLOOKUP(Inputs!$B$40,Inputs!$A$29:$K$33,6,FALSE())*(Inputs!$B$25/14)*Inputs!$B$5),Model!C13*(VLOOKUP(Inputs!$B$40,Inputs!$A$29:$K$33,3,FALSE())*(Inputs!$B$25/14)*Inputs!$B$5)+(1-Model!C13)*(IF(Inputs!$B$42="soc",INDEX(Inputs!$A$37:$C$37,1,1)*(Inputs!$B$25/14)*Inputs!$B$5,VLOOKUP(Inputs!$B$40,Inputs!$A$29:$K$33,9,FALSE())*(Inputs!$B$25/14)*Inputs!$B$5)))+IF(Model!B14,Model!C14*(VLOOKUP(Inputs!$B$40,Inputs!$A$29:$K$33,3,FALSE())*(Inputs!$B$25/14)*Inputs!$B$5)+(1-Model!C14)*(VLOOKUP(Inputs!$B$40,Inputs!$A$29:$K$33,6,FALSE())*(Inputs!$B$25/14)*Inputs!$B$5),Model!C14*(VLOOKUP(Inputs!$B$40,Inputs!$A$29:$K$33,3,FALSE())*(Inputs!$B$25/14)*Inputs!$B$5)+(1-Model!C14)*(IF(Inputs!$B$42="soc",INDEX(Inputs!$A$37:$C$37,1,1)*(Inputs!$B$25/14)*Inputs!$B$5,VLOOKUP(Inputs!$B$40,Inputs!$A$29:$K$33,9,FALSE())*(Inputs!$B$25/14)*Inputs!$B$5)))+IF(Model!B15,Model!C15*(VLOOKUP(Inputs!$B$40,Inputs!$A$29:$K$33,3,FALSE())*(Inputs!$B$25/14)*Inputs!$B$5)+(1-Model!C15)*(VLOOKUP(Inputs!$B$40,Inputs!$A$29:$K$33,6,FALSE())*(Inputs!$B$25/14)*Inputs!$B$5),Model!C15*(VLOOKUP(Inputs!$B$40,Inputs!$A$29:$K$33,3,FALSE())*(Inputs!$B$25/14)*Inputs!$B$5)+(1-Model!C15)*(IF(Inputs!$B$42="soc",INDEX(Inputs!$A$37:$C$37,1,1)*(Inputs!$B$25/14)*Inputs!$B$5,VLOOKUP(Inputs!$B$40,Inputs!$A$29:$K$33,9,FALSE())*(Inputs!$B$25/14)*Inputs!$B$5)))+IF(Model!B16,Model!C16*(VLOOKUP(Inputs!$B$40,Inputs!$A$29:$K$33,3,FALSE())*(Inputs!$B$25/14)*Inputs!$B$5)+(1-Model!C16)*(VLOOKUP(Inputs!$B$40,Inputs!$A$29:$K$33,6,FALSE())*(Inputs!$B$25/14)*Inputs!$B$5),Model!C16*(VLOOKUP(Inputs!$B$40,Inputs!$A$29:$K$33,3,FALSE())*(Inputs!$B$25/14)*Inputs!$B$5)+(1-Model!C16)*(IF(Inputs!$B$42="soc",INDEX(Inputs!$A$37:$C$37,1,1)*(Inputs!$B$25/14)*Inputs!$B$5,VLOOKUP(Inputs!$B$40,Inputs!$A$29:$K$33,9,FALSE())*(Inputs!$B$25/14)*Inputs!$B$5)))+IF(Model!B17,Model!C17*(VLOOKUP(Inputs!$B$40,Inputs!$A$29:$K$33,3,FALSE())*(Inputs!$B$25/14)*Inputs!$B$5)+(1-Model!C17)*(VLOOKUP(Inputs!$B$40,Inputs!$A$29:$K$33,6,FALSE())*(Inputs!$B$25/14)*Inputs!$B$5),Model!C17*(VLOOKUP(Inputs!$B$40,Inputs!$A$29:$K$33,3,FALSE())*(Inputs!$B$25/14)*Inputs!$B$5)+(1-Model!C17)*(IF(Inputs!$B$42="soc",INDEX(Inputs!$A$37:$C$37,1,1)*(Inputs!$B$25/14)*Inputs!$B$5,VLOOKUP(Inputs!$B$40,Inputs!$A$29:$K$33,9,FALSE())*(Inputs!$B$25/14)*Inputs!$B$5)))+IF(Model!B18,Model!C18*(VLOOKUP(Inputs!$B$40,Inputs!$A$29:$K$33,3,FALSE())*(Inputs!$B$25/14)*Inputs!$B$5)+(1-Model!C18)*(VLOOKUP(Inputs!$B$40,Inputs!$A$29:$K$33,6,FALSE())*(Inputs!$B$25/14)*Inputs!$B$5),Model!C18*(VLOOKUP(Inputs!$B$40,Inputs!$A$29:$K$33,3,FALSE())*(Inputs!$B$25/14)*Inputs!$B$5)+(1-Model!C18)*(IF(Inputs!$B$42="soc",INDEX(Inputs!$A$37:$C$37,1,1)*(Inputs!$B$25/14)*Inputs!$B$5,VLOOKUP(Inputs!$B$40,Inputs!$A$29:$K$33,9,FALSE())*(Inputs!$B$25/14)*Inputs!$B$5)))+IF(Model!B19,Model!C19*(VLOOKUP(Inputs!$B$40,Inputs!$A$29:$K$33,3,FALSE())*(Inputs!$B$25/14)*Inputs!$B$5)+(1-Model!C19)*(VLOOKUP(Inputs!$B$40,Inputs!$A$29:$K$33,6,FALSE())*(Inputs!$B$25/14)*Inputs!$B$5),Model!C19*(VLOOKUP(Inputs!$B$40,Inputs!$A$29:$K$33,3,FALSE())*(Inputs!$B$25/14)*Inputs!$B$5)+(1-Model!C19)*(IF(Inputs!$B$42="soc",INDEX(Inputs!$A$37:$C$37,1,1)*(Inputs!$B$25/14)*Inputs!$B$5,VLOOKUP(Inputs!$B$40,Inputs!$A$29:$K$33,9,FALSE())*(Inputs!$B$25/14)*Inputs!$B$5)))+IF(Model!B20,Model!C20*(VLOOKUP(Inputs!$B$40,Inputs!$A$29:$K$33,3,FALSE())*(Inputs!$B$25/14)*Inputs!$B$5)+(1-Model!C20)*(VLOOKUP(Inputs!$B$40,Inputs!$A$29:$K$33,6,FALSE())*(Inputs!$B$25/14)*Inputs!$B$5),Model!C20*(VLOOKUP(Inputs!$B$40,Inputs!$A$29:$K$33,3,FALSE())*(Inputs!$B$25/14)*Inputs!$B$5)+(1-Model!C20)*(IF(Inputs!$B$42="soc",INDEX(Inputs!$A$37:$C$37,1,1)*(Inputs!$B$25/14)*Inputs!$B$5,VLOOKUP(Inputs!$B$40,Inputs!$A$29:$K$33,9,FALSE())*(Inputs!$B$25/14)*Inputs!$B$5)))</f>
        <v>206.902367428571</v>
      </c>
      <c r="C13" s="26" t="n">
        <f aca="false">Model!E9*(VLOOKUP(Inputs!$B$40,Inputs!$A$29:$K$33,3,FALSE())*(Inputs!$B$25/14)*Inputs!$B$5)+(1-Model!E9)*(INDEX(Inputs!$A$37:$C$37,1,1)*(Inputs!$B$25/14)*Inputs!$B$5)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+INDEX(Inputs!$A$37:$C$37,1,1)*(Inputs!$B$25/14)*Inputs!$B$5</f>
        <v>205.441715285714</v>
      </c>
      <c r="D13" s="31" t="n">
        <f aca="false">B13-C13</f>
        <v>1.46065214285704</v>
      </c>
      <c r="E13" s="32" t="s">
        <v>120</v>
      </c>
    </row>
    <row r="14" customFormat="false" ht="15" hidden="false" customHeight="true" outlineLevel="0" collapsed="false">
      <c r="A14" s="23" t="s">
        <v>121</v>
      </c>
      <c r="B14" s="26" t="n">
        <f aca="false">IF(Model!B9,Model!C9*(VLOOKUP(Inputs!$B$40,Inputs!$A$29:$K$33,4,FALSE())*(Inputs!$B$25/14)*Inputs!$B$12)+(1-Model!C9)*(VLOOKUP(Inputs!$B$40,Inputs!$A$29:$K$33,7,FALSE())*(Inputs!$B$25/14)*Inputs!$B$12),Model!C9*(VLOOKUP(Inputs!$B$40,Inputs!$A$29:$K$33,4,FALSE())*(Inputs!$B$25/14)*Inputs!$B$12)+(1-Model!C9)*(IF(Inputs!$B$42="soc",INDEX(Inputs!$A$37:$C$37,1,2)*(Inputs!$B$25/14)*Inputs!$B$12,VLOOKUP(Inputs!$B$40,Inputs!$A$29:$K$33,10,FALSE())*(Inputs!$B$25/14)*Inputs!$B$12)))+IF(Model!B10,Model!C10*(VLOOKUP(Inputs!$B$40,Inputs!$A$29:$K$33,4,FALSE())*(Inputs!$B$25/14)*Inputs!$B$12)+(1-Model!C10)*(VLOOKUP(Inputs!$B$40,Inputs!$A$29:$K$33,7,FALSE())*(Inputs!$B$25/14)*Inputs!$B$12),Model!C10*(VLOOKUP(Inputs!$B$40,Inputs!$A$29:$K$33,4,FALSE())*(Inputs!$B$25/14)*Inputs!$B$12)+(1-Model!C10)*(IF(Inputs!$B$42="soc",INDEX(Inputs!$A$37:$C$37,1,2)*(Inputs!$B$25/14)*Inputs!$B$12,VLOOKUP(Inputs!$B$40,Inputs!$A$29:$K$33,10,FALSE())*(Inputs!$B$25/14)*Inputs!$B$12)))+IF(Model!B11,Model!C11*(VLOOKUP(Inputs!$B$40,Inputs!$A$29:$K$33,4,FALSE())*(Inputs!$B$25/14)*Inputs!$B$12)+(1-Model!C11)*(VLOOKUP(Inputs!$B$40,Inputs!$A$29:$K$33,7,FALSE())*(Inputs!$B$25/14)*Inputs!$B$12),Model!C11*(VLOOKUP(Inputs!$B$40,Inputs!$A$29:$K$33,4,FALSE())*(Inputs!$B$25/14)*Inputs!$B$12)+(1-Model!C11)*(IF(Inputs!$B$42="soc",INDEX(Inputs!$A$37:$C$37,1,2)*(Inputs!$B$25/14)*Inputs!$B$12,VLOOKUP(Inputs!$B$40,Inputs!$A$29:$K$33,10,FALSE())*(Inputs!$B$25/14)*Inputs!$B$12)))+IF(Model!B12,Model!C12*(VLOOKUP(Inputs!$B$40,Inputs!$A$29:$K$33,4,FALSE())*(Inputs!$B$25/14)*Inputs!$B$12)+(1-Model!C12)*(VLOOKUP(Inputs!$B$40,Inputs!$A$29:$K$33,7,FALSE())*(Inputs!$B$25/14)*Inputs!$B$12),Model!C12*(VLOOKUP(Inputs!$B$40,Inputs!$A$29:$K$33,4,FALSE())*(Inputs!$B$25/14)*Inputs!$B$12)+(1-Model!C12)*(IF(Inputs!$B$42="soc",INDEX(Inputs!$A$37:$C$37,1,2)*(Inputs!$B$25/14)*Inputs!$B$12,VLOOKUP(Inputs!$B$40,Inputs!$A$29:$K$33,10,FALSE())*(Inputs!$B$25/14)*Inputs!$B$12)))+IF(Model!B13,Model!C13*(VLOOKUP(Inputs!$B$40,Inputs!$A$29:$K$33,4,FALSE())*(Inputs!$B$25/14)*Inputs!$B$12)+(1-Model!C13)*(VLOOKUP(Inputs!$B$40,Inputs!$A$29:$K$33,7,FALSE())*(Inputs!$B$25/14)*Inputs!$B$12),Model!C13*(VLOOKUP(Inputs!$B$40,Inputs!$A$29:$K$33,4,FALSE())*(Inputs!$B$25/14)*Inputs!$B$12)+(1-Model!C13)*(IF(Inputs!$B$42="soc",INDEX(Inputs!$A$37:$C$37,1,2)*(Inputs!$B$25/14)*Inputs!$B$12,VLOOKUP(Inputs!$B$40,Inputs!$A$29:$K$33,10,FALSE())*(Inputs!$B$25/14)*Inputs!$B$12)))+IF(Model!B14,Model!C14*(VLOOKUP(Inputs!$B$40,Inputs!$A$29:$K$33,4,FALSE())*(Inputs!$B$25/14)*Inputs!$B$12)+(1-Model!C14)*(VLOOKUP(Inputs!$B$40,Inputs!$A$29:$K$33,7,FALSE())*(Inputs!$B$25/14)*Inputs!$B$12),Model!C14*(VLOOKUP(Inputs!$B$40,Inputs!$A$29:$K$33,4,FALSE())*(Inputs!$B$25/14)*Inputs!$B$12)+(1-Model!C14)*(IF(Inputs!$B$42="soc",INDEX(Inputs!$A$37:$C$37,1,2)*(Inputs!$B$25/14)*Inputs!$B$12,VLOOKUP(Inputs!$B$40,Inputs!$A$29:$K$33,10,FALSE())*(Inputs!$B$25/14)*Inputs!$B$12)))+IF(Model!B15,Model!C15*(VLOOKUP(Inputs!$B$40,Inputs!$A$29:$K$33,4,FALSE())*(Inputs!$B$25/14)*Inputs!$B$12)+(1-Model!C15)*(VLOOKUP(Inputs!$B$40,Inputs!$A$29:$K$33,7,FALSE())*(Inputs!$B$25/14)*Inputs!$B$12),Model!C15*(VLOOKUP(Inputs!$B$40,Inputs!$A$29:$K$33,4,FALSE())*(Inputs!$B$25/14)*Inputs!$B$12)+(1-Model!C15)*(IF(Inputs!$B$42="soc",INDEX(Inputs!$A$37:$C$37,1,2)*(Inputs!$B$25/14)*Inputs!$B$12,VLOOKUP(Inputs!$B$40,Inputs!$A$29:$K$33,10,FALSE())*(Inputs!$B$25/14)*Inputs!$B$12)))+IF(Model!B16,Model!C16*(VLOOKUP(Inputs!$B$40,Inputs!$A$29:$K$33,4,FALSE())*(Inputs!$B$25/14)*Inputs!$B$12)+(1-Model!C16)*(VLOOKUP(Inputs!$B$40,Inputs!$A$29:$K$33,7,FALSE())*(Inputs!$B$25/14)*Inputs!$B$12),Model!C16*(VLOOKUP(Inputs!$B$40,Inputs!$A$29:$K$33,4,FALSE())*(Inputs!$B$25/14)*Inputs!$B$12)+(1-Model!C16)*(IF(Inputs!$B$42="soc",INDEX(Inputs!$A$37:$C$37,1,2)*(Inputs!$B$25/14)*Inputs!$B$12,VLOOKUP(Inputs!$B$40,Inputs!$A$29:$K$33,10,FALSE())*(Inputs!$B$25/14)*Inputs!$B$12)))+IF(Model!B17,Model!C17*(VLOOKUP(Inputs!$B$40,Inputs!$A$29:$K$33,4,FALSE())*(Inputs!$B$25/14)*Inputs!$B$12)+(1-Model!C17)*(VLOOKUP(Inputs!$B$40,Inputs!$A$29:$K$33,7,FALSE())*(Inputs!$B$25/14)*Inputs!$B$12),Model!C17*(VLOOKUP(Inputs!$B$40,Inputs!$A$29:$K$33,4,FALSE())*(Inputs!$B$25/14)*Inputs!$B$12)+(1-Model!C17)*(IF(Inputs!$B$42="soc",INDEX(Inputs!$A$37:$C$37,1,2)*(Inputs!$B$25/14)*Inputs!$B$12,VLOOKUP(Inputs!$B$40,Inputs!$A$29:$K$33,10,FALSE())*(Inputs!$B$25/14)*Inputs!$B$12)))+IF(Model!B18,Model!C18*(VLOOKUP(Inputs!$B$40,Inputs!$A$29:$K$33,4,FALSE())*(Inputs!$B$25/14)*Inputs!$B$12)+(1-Model!C18)*(VLOOKUP(Inputs!$B$40,Inputs!$A$29:$K$33,7,FALSE())*(Inputs!$B$25/14)*Inputs!$B$12),Model!C18*(VLOOKUP(Inputs!$B$40,Inputs!$A$29:$K$33,4,FALSE())*(Inputs!$B$25/14)*Inputs!$B$12)+(1-Model!C18)*(IF(Inputs!$B$42="soc",INDEX(Inputs!$A$37:$C$37,1,2)*(Inputs!$B$25/14)*Inputs!$B$12,VLOOKUP(Inputs!$B$40,Inputs!$A$29:$K$33,10,FALSE())*(Inputs!$B$25/14)*Inputs!$B$12)))+IF(Model!B19,Model!C19*(VLOOKUP(Inputs!$B$40,Inputs!$A$29:$K$33,4,FALSE())*(Inputs!$B$25/14)*Inputs!$B$12)+(1-Model!C19)*(VLOOKUP(Inputs!$B$40,Inputs!$A$29:$K$33,7,FALSE())*(Inputs!$B$25/14)*Inputs!$B$12),Model!C19*(VLOOKUP(Inputs!$B$40,Inputs!$A$29:$K$33,4,FALSE())*(Inputs!$B$25/14)*Inputs!$B$12)+(1-Model!C19)*(IF(Inputs!$B$42="soc",INDEX(Inputs!$A$37:$C$37,1,2)*(Inputs!$B$25/14)*Inputs!$B$12,VLOOKUP(Inputs!$B$40,Inputs!$A$29:$K$33,10,FALSE())*(Inputs!$B$25/14)*Inputs!$B$12)))+IF(Model!B20,Model!C20*(VLOOKUP(Inputs!$B$40,Inputs!$A$29:$K$33,4,FALSE())*(Inputs!$B$25/14)*Inputs!$B$12)+(1-Model!C20)*(VLOOKUP(Inputs!$B$40,Inputs!$A$29:$K$33,7,FALSE())*(Inputs!$B$25/14)*Inputs!$B$12),Model!C20*(VLOOKUP(Inputs!$B$40,Inputs!$A$29:$K$33,4,FALSE())*(Inputs!$B$25/14)*Inputs!$B$12)+(1-Model!C20)*(IF(Inputs!$B$42="soc",INDEX(Inputs!$A$37:$C$37,1,2)*(Inputs!$B$25/14)*Inputs!$B$12,VLOOKUP(Inputs!$B$40,Inputs!$A$29:$K$33,10,FALSE())*(Inputs!$B$25/14)*Inputs!$B$12)))</f>
        <v>2586.52624042511</v>
      </c>
      <c r="C14" s="26" t="n">
        <f aca="false">Model!E9*(VLOOKUP(Inputs!$B$40,Inputs!$A$29:$K$33,4,FALSE())*(Inputs!$B$25/14)*Inputs!$B$12)+(1-Model!E9)*(INDEX(Inputs!$A$37:$C$37,1,2)*(Inputs!$B$25/14)*Inputs!$B$12)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+INDEX(Inputs!$A$37:$C$37,1,2)*(Inputs!$B$25/14)*Inputs!$B$12</f>
        <v>3518.45144690424</v>
      </c>
      <c r="D14" s="31" t="n">
        <f aca="false">B14-C14</f>
        <v>-931.925206479133</v>
      </c>
      <c r="E14" s="32" t="s">
        <v>122</v>
      </c>
    </row>
    <row r="15" customFormat="false" ht="15" hidden="false" customHeight="true" outlineLevel="0" collapsed="false">
      <c r="A15" s="23" t="s">
        <v>123</v>
      </c>
      <c r="B15" s="26" t="n">
        <f aca="false">IF(Model!B9,Model!C9*(VLOOKUP(Inputs!$B$40,Inputs!$A$29:$K$33,5,FALSE())*(Inputs!$B$25/14)*Inputs!$B$13)+(1-Model!C9)*(VLOOKUP(Inputs!$B$40,Inputs!$A$29:$K$33,8,FALSE())*(Inputs!$B$25/14)*Inputs!$B$13),Model!C9*(VLOOKUP(Inputs!$B$40,Inputs!$A$29:$K$33,5,FALSE())*(Inputs!$B$25/14)*Inputs!$B$13)+(1-Model!C9)*(IF(Inputs!$B$42="soc",INDEX(Inputs!$A$37:$C$37,1,3)*(Inputs!$B$25/14)*Inputs!$B$13,VLOOKUP(Inputs!$B$40,Inputs!$A$29:$K$33,11,FALSE())*(Inputs!$B$25/14)*Inputs!$B$13)))+IF(Model!B10,Model!C10*(VLOOKUP(Inputs!$B$40,Inputs!$A$29:$K$33,5,FALSE())*(Inputs!$B$25/14)*Inputs!$B$13)+(1-Model!C10)*(VLOOKUP(Inputs!$B$40,Inputs!$A$29:$K$33,8,FALSE())*(Inputs!$B$25/14)*Inputs!$B$13),Model!C10*(VLOOKUP(Inputs!$B$40,Inputs!$A$29:$K$33,5,FALSE())*(Inputs!$B$25/14)*Inputs!$B$13)+(1-Model!C10)*(IF(Inputs!$B$42="soc",INDEX(Inputs!$A$37:$C$37,1,3)*(Inputs!$B$25/14)*Inputs!$B$13,VLOOKUP(Inputs!$B$40,Inputs!$A$29:$K$33,11,FALSE())*(Inputs!$B$25/14)*Inputs!$B$13)))+IF(Model!B11,Model!C11*(VLOOKUP(Inputs!$B$40,Inputs!$A$29:$K$33,5,FALSE())*(Inputs!$B$25/14)*Inputs!$B$13)+(1-Model!C11)*(VLOOKUP(Inputs!$B$40,Inputs!$A$29:$K$33,8,FALSE())*(Inputs!$B$25/14)*Inputs!$B$13),Model!C11*(VLOOKUP(Inputs!$B$40,Inputs!$A$29:$K$33,5,FALSE())*(Inputs!$B$25/14)*Inputs!$B$13)+(1-Model!C11)*(IF(Inputs!$B$42="soc",INDEX(Inputs!$A$37:$C$37,1,3)*(Inputs!$B$25/14)*Inputs!$B$13,VLOOKUP(Inputs!$B$40,Inputs!$A$29:$K$33,11,FALSE())*(Inputs!$B$25/14)*Inputs!$B$13)))+IF(Model!B12,Model!C12*(VLOOKUP(Inputs!$B$40,Inputs!$A$29:$K$33,5,FALSE())*(Inputs!$B$25/14)*Inputs!$B$13)+(1-Model!C12)*(VLOOKUP(Inputs!$B$40,Inputs!$A$29:$K$33,8,FALSE())*(Inputs!$B$25/14)*Inputs!$B$13),Model!C12*(VLOOKUP(Inputs!$B$40,Inputs!$A$29:$K$33,5,FALSE())*(Inputs!$B$25/14)*Inputs!$B$13)+(1-Model!C12)*(IF(Inputs!$B$42="soc",INDEX(Inputs!$A$37:$C$37,1,3)*(Inputs!$B$25/14)*Inputs!$B$13,VLOOKUP(Inputs!$B$40,Inputs!$A$29:$K$33,11,FALSE())*(Inputs!$B$25/14)*Inputs!$B$13)))+IF(Model!B13,Model!C13*(VLOOKUP(Inputs!$B$40,Inputs!$A$29:$K$33,5,FALSE())*(Inputs!$B$25/14)*Inputs!$B$13)+(1-Model!C13)*(VLOOKUP(Inputs!$B$40,Inputs!$A$29:$K$33,8,FALSE())*(Inputs!$B$25/14)*Inputs!$B$13),Model!C13*(VLOOKUP(Inputs!$B$40,Inputs!$A$29:$K$33,5,FALSE())*(Inputs!$B$25/14)*Inputs!$B$13)+(1-Model!C13)*(IF(Inputs!$B$42="soc",INDEX(Inputs!$A$37:$C$37,1,3)*(Inputs!$B$25/14)*Inputs!$B$13,VLOOKUP(Inputs!$B$40,Inputs!$A$29:$K$33,11,FALSE())*(Inputs!$B$25/14)*Inputs!$B$13)))+IF(Model!B14,Model!C14*(VLOOKUP(Inputs!$B$40,Inputs!$A$29:$K$33,5,FALSE())*(Inputs!$B$25/14)*Inputs!$B$13)+(1-Model!C14)*(VLOOKUP(Inputs!$B$40,Inputs!$A$29:$K$33,8,FALSE())*(Inputs!$B$25/14)*Inputs!$B$13),Model!C14*(VLOOKUP(Inputs!$B$40,Inputs!$A$29:$K$33,5,FALSE())*(Inputs!$B$25/14)*Inputs!$B$13)+(1-Model!C14)*(IF(Inputs!$B$42="soc",INDEX(Inputs!$A$37:$C$37,1,3)*(Inputs!$B$25/14)*Inputs!$B$13,VLOOKUP(Inputs!$B$40,Inputs!$A$29:$K$33,11,FALSE())*(Inputs!$B$25/14)*Inputs!$B$13)))+IF(Model!B15,Model!C15*(VLOOKUP(Inputs!$B$40,Inputs!$A$29:$K$33,5,FALSE())*(Inputs!$B$25/14)*Inputs!$B$13)+(1-Model!C15)*(VLOOKUP(Inputs!$B$40,Inputs!$A$29:$K$33,8,FALSE())*(Inputs!$B$25/14)*Inputs!$B$13),Model!C15*(VLOOKUP(Inputs!$B$40,Inputs!$A$29:$K$33,5,FALSE())*(Inputs!$B$25/14)*Inputs!$B$13)+(1-Model!C15)*(IF(Inputs!$B$42="soc",INDEX(Inputs!$A$37:$C$37,1,3)*(Inputs!$B$25/14)*Inputs!$B$13,VLOOKUP(Inputs!$B$40,Inputs!$A$29:$K$33,11,FALSE())*(Inputs!$B$25/14)*Inputs!$B$13)))+IF(Model!B16,Model!C16*(VLOOKUP(Inputs!$B$40,Inputs!$A$29:$K$33,5,FALSE())*(Inputs!$B$25/14)*Inputs!$B$13)+(1-Model!C16)*(VLOOKUP(Inputs!$B$40,Inputs!$A$29:$K$33,8,FALSE())*(Inputs!$B$25/14)*Inputs!$B$13),Model!C16*(VLOOKUP(Inputs!$B$40,Inputs!$A$29:$K$33,5,FALSE())*(Inputs!$B$25/14)*Inputs!$B$13)+(1-Model!C16)*(IF(Inputs!$B$42="soc",INDEX(Inputs!$A$37:$C$37,1,3)*(Inputs!$B$25/14)*Inputs!$B$13,VLOOKUP(Inputs!$B$40,Inputs!$A$29:$K$33,11,FALSE())*(Inputs!$B$25/14)*Inputs!$B$13)))+IF(Model!B17,Model!C17*(VLOOKUP(Inputs!$B$40,Inputs!$A$29:$K$33,5,FALSE())*(Inputs!$B$25/14)*Inputs!$B$13)+(1-Model!C17)*(VLOOKUP(Inputs!$B$40,Inputs!$A$29:$K$33,8,FALSE())*(Inputs!$B$25/14)*Inputs!$B$13),Model!C17*(VLOOKUP(Inputs!$B$40,Inputs!$A$29:$K$33,5,FALSE())*(Inputs!$B$25/14)*Inputs!$B$13)+(1-Model!C17)*(IF(Inputs!$B$42="soc",INDEX(Inputs!$A$37:$C$37,1,3)*(Inputs!$B$25/14)*Inputs!$B$13,VLOOKUP(Inputs!$B$40,Inputs!$A$29:$K$33,11,FALSE())*(Inputs!$B$25/14)*Inputs!$B$13)))+IF(Model!B18,Model!C18*(VLOOKUP(Inputs!$B$40,Inputs!$A$29:$K$33,5,FALSE())*(Inputs!$B$25/14)*Inputs!$B$13)+(1-Model!C18)*(VLOOKUP(Inputs!$B$40,Inputs!$A$29:$K$33,8,FALSE())*(Inputs!$B$25/14)*Inputs!$B$13),Model!C18*(VLOOKUP(Inputs!$B$40,Inputs!$A$29:$K$33,5,FALSE())*(Inputs!$B$25/14)*Inputs!$B$13)+(1-Model!C18)*(IF(Inputs!$B$42="soc",INDEX(Inputs!$A$37:$C$37,1,3)*(Inputs!$B$25/14)*Inputs!$B$13,VLOOKUP(Inputs!$B$40,Inputs!$A$29:$K$33,11,FALSE())*(Inputs!$B$25/14)*Inputs!$B$13)))+IF(Model!B19,Model!C19*(VLOOKUP(Inputs!$B$40,Inputs!$A$29:$K$33,5,FALSE())*(Inputs!$B$25/14)*Inputs!$B$13)+(1-Model!C19)*(VLOOKUP(Inputs!$B$40,Inputs!$A$29:$K$33,8,FALSE())*(Inputs!$B$25/14)*Inputs!$B$13),Model!C19*(VLOOKUP(Inputs!$B$40,Inputs!$A$29:$K$33,5,FALSE())*(Inputs!$B$25/14)*Inputs!$B$13)+(1-Model!C19)*(IF(Inputs!$B$42="soc",INDEX(Inputs!$A$37:$C$37,1,3)*(Inputs!$B$25/14)*Inputs!$B$13,VLOOKUP(Inputs!$B$40,Inputs!$A$29:$K$33,11,FALSE())*(Inputs!$B$25/14)*Inputs!$B$13)))+IF(Model!B20,Model!C20*(VLOOKUP(Inputs!$B$40,Inputs!$A$29:$K$33,5,FALSE())*(Inputs!$B$25/14)*Inputs!$B$13)+(1-Model!C20)*(VLOOKUP(Inputs!$B$40,Inputs!$A$29:$K$33,8,FALSE())*(Inputs!$B$25/14)*Inputs!$B$13),Model!C20*(VLOOKUP(Inputs!$B$40,Inputs!$A$29:$K$33,5,FALSE())*(Inputs!$B$25/14)*Inputs!$B$13)+(1-Model!C20)*(IF(Inputs!$B$42="soc",INDEX(Inputs!$A$37:$C$37,1,3)*(Inputs!$B$25/14)*Inputs!$B$13,VLOOKUP(Inputs!$B$40,Inputs!$A$29:$K$33,11,FALSE())*(Inputs!$B$25/14)*Inputs!$B$13)))</f>
        <v>148.028389553571</v>
      </c>
      <c r="C15" s="26" t="n">
        <f aca="false">Model!E9*(VLOOKUP(Inputs!$B$40,Inputs!$A$29:$K$33,5,FALSE())*(Inputs!$B$25/14)*Inputs!$B$13)+(1-Model!E9)*(INDEX(Inputs!$A$37:$C$37,1,3)*(Inputs!$B$25/14)*Inputs!$B$13)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+INDEX(Inputs!$A$37:$C$37,1,3)*(Inputs!$B$25/14)*Inputs!$B$13</f>
        <v>189.143375424107</v>
      </c>
      <c r="D15" s="31" t="n">
        <f aca="false">B15-C15</f>
        <v>-41.1149858705358</v>
      </c>
      <c r="E15" s="32" t="s">
        <v>124</v>
      </c>
    </row>
    <row r="16" customFormat="false" ht="15" hidden="false" customHeight="true" outlineLevel="0" collapsed="false">
      <c r="A16" s="34" t="s">
        <v>125</v>
      </c>
      <c r="B16" s="35" t="n">
        <f aca="false">SUM(B12:B15)</f>
        <v>3458.95699740725</v>
      </c>
      <c r="C16" s="35" t="n">
        <f aca="false">SUM(C12:C15)</f>
        <v>3913.03653761406</v>
      </c>
      <c r="D16" s="36" t="n">
        <f aca="false">B16-C16</f>
        <v>-454.079540206812</v>
      </c>
      <c r="E16" s="23"/>
    </row>
    <row r="17" customFormat="false" ht="15" hidden="false" customHeight="true" outlineLevel="0" collapsed="false">
      <c r="A17" s="23"/>
      <c r="B17" s="23"/>
      <c r="C17" s="23"/>
      <c r="D17" s="23"/>
      <c r="E17" s="23"/>
    </row>
    <row r="18" customFormat="false" ht="15" hidden="false" customHeight="true" outlineLevel="0" collapsed="false">
      <c r="A18" s="8" t="s">
        <v>126</v>
      </c>
      <c r="B18" s="8"/>
      <c r="C18" s="8"/>
      <c r="D18" s="8"/>
      <c r="E18" s="8"/>
    </row>
    <row r="19" customFormat="false" ht="15" hidden="false" customHeight="true" outlineLevel="0" collapsed="false">
      <c r="A19" s="37" t="s">
        <v>127</v>
      </c>
      <c r="B19" s="37"/>
      <c r="C19" s="37"/>
      <c r="D19" s="37"/>
      <c r="E19" s="37"/>
    </row>
    <row r="20" customFormat="false" ht="15" hidden="false" customHeight="true" outlineLevel="0" collapsed="false">
      <c r="A20" s="37" t="s">
        <v>128</v>
      </c>
      <c r="B20" s="37"/>
      <c r="C20" s="37"/>
      <c r="D20" s="37"/>
      <c r="E20" s="37"/>
    </row>
    <row r="21" customFormat="false" ht="15" hidden="false" customHeight="true" outlineLevel="0" collapsed="false">
      <c r="A21" s="37" t="s">
        <v>129</v>
      </c>
      <c r="B21" s="37"/>
      <c r="C21" s="37"/>
      <c r="D21" s="37"/>
      <c r="E21" s="37"/>
    </row>
    <row r="22" customFormat="false" ht="15" hidden="false" customHeight="true" outlineLevel="0" collapsed="false">
      <c r="A22" s="37" t="s">
        <v>130</v>
      </c>
      <c r="B22" s="37"/>
      <c r="C22" s="37"/>
      <c r="D22" s="37"/>
      <c r="E22" s="37"/>
    </row>
    <row r="23" customFormat="false" ht="15" hidden="false" customHeight="true" outlineLevel="0" collapsed="false">
      <c r="A23" s="37" t="s">
        <v>131</v>
      </c>
      <c r="B23" s="37"/>
      <c r="C23" s="37"/>
      <c r="D23" s="37"/>
      <c r="E23" s="37"/>
    </row>
  </sheetData>
  <mergeCells count="8">
    <mergeCell ref="A4:E4"/>
    <mergeCell ref="A10:E10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8"/>
    <col collapsed="false" customWidth="true" hidden="false" outlineLevel="0" max="2" min="2" style="5" width="10"/>
    <col collapsed="false" customWidth="true" hidden="false" outlineLevel="0" max="3" min="3" style="5" width="12"/>
    <col collapsed="false" customWidth="true" hidden="false" outlineLevel="0" max="5" min="4" style="5" width="10"/>
    <col collapsed="false" customWidth="true" hidden="false" outlineLevel="0" max="10" min="6" style="5" width="16"/>
  </cols>
  <sheetData>
    <row r="1" customFormat="false" ht="17.25" hidden="false" customHeight="true" outlineLevel="0" collapsed="false">
      <c r="A1" s="6" t="s">
        <v>132</v>
      </c>
    </row>
    <row r="2" customFormat="false" ht="15" hidden="false" customHeight="true" outlineLevel="0" collapsed="false">
      <c r="A2" s="7" t="s">
        <v>133</v>
      </c>
    </row>
    <row r="4" customFormat="false" ht="15" hidden="false" customHeight="true" outlineLevel="0" collapsed="false">
      <c r="A4" s="38" t="s">
        <v>134</v>
      </c>
      <c r="B4" s="39"/>
      <c r="C4" s="39"/>
      <c r="D4" s="39"/>
      <c r="E4" s="39"/>
      <c r="F4" s="39"/>
      <c r="G4" s="39"/>
      <c r="H4" s="39"/>
      <c r="I4" s="39"/>
    </row>
    <row r="5" customFormat="false" ht="15" hidden="false" customHeight="true" outlineLevel="0" collapsed="false">
      <c r="A5" s="30" t="s">
        <v>135</v>
      </c>
      <c r="B5" s="30" t="s">
        <v>136</v>
      </c>
      <c r="C5" s="30" t="s">
        <v>137</v>
      </c>
      <c r="D5" s="30" t="s">
        <v>138</v>
      </c>
      <c r="E5" s="30" t="s">
        <v>114</v>
      </c>
      <c r="F5" s="30" t="s">
        <v>105</v>
      </c>
      <c r="G5" s="30" t="s">
        <v>139</v>
      </c>
    </row>
    <row r="6" customFormat="false" ht="15" hidden="false" customHeight="true" outlineLevel="0" collapsed="false">
      <c r="A6" s="23" t="s">
        <v>63</v>
      </c>
      <c r="B6" s="23" t="s">
        <v>76</v>
      </c>
      <c r="C6" s="23" t="s">
        <v>79</v>
      </c>
      <c r="D6" s="40" t="n">
        <f aca="false">D53</f>
        <v>3565.45361742129</v>
      </c>
      <c r="E6" s="40" t="n">
        <f aca="false">F53</f>
        <v>3913.41431155826</v>
      </c>
      <c r="F6" s="41" t="n">
        <f aca="false">D53-F53</f>
        <v>-347.960694136973</v>
      </c>
      <c r="G6" s="42" t="n">
        <v>-343</v>
      </c>
    </row>
    <row r="7" customFormat="false" ht="15" hidden="false" customHeight="true" outlineLevel="0" collapsed="false">
      <c r="A7" s="23" t="s">
        <v>63</v>
      </c>
      <c r="B7" s="23" t="s">
        <v>76</v>
      </c>
      <c r="C7" s="23" t="s">
        <v>140</v>
      </c>
      <c r="D7" s="40" t="n">
        <f aca="false">D69</f>
        <v>3085.61902782426</v>
      </c>
      <c r="E7" s="40" t="n">
        <f aca="false">F69</f>
        <v>3913.41431155826</v>
      </c>
      <c r="F7" s="41" t="n">
        <f aca="false">D69-F69</f>
        <v>-827.795283733999</v>
      </c>
      <c r="G7" s="42" t="n">
        <v>-821</v>
      </c>
    </row>
    <row r="8" customFormat="false" ht="15" hidden="false" customHeight="true" outlineLevel="0" collapsed="false">
      <c r="A8" s="23" t="s">
        <v>63</v>
      </c>
      <c r="B8" s="23" t="s">
        <v>141</v>
      </c>
      <c r="C8" s="23" t="s">
        <v>79</v>
      </c>
      <c r="D8" s="40" t="n">
        <f aca="false">D85</f>
        <v>3606.26509845458</v>
      </c>
      <c r="E8" s="40" t="n">
        <f aca="false">F85</f>
        <v>3913.41431155826</v>
      </c>
      <c r="F8" s="41" t="n">
        <f aca="false">D85-F85</f>
        <v>-307.14921310368</v>
      </c>
      <c r="G8" s="42" t="n">
        <v>-256</v>
      </c>
    </row>
    <row r="9" customFormat="false" ht="15" hidden="false" customHeight="true" outlineLevel="0" collapsed="false">
      <c r="A9" s="23" t="s">
        <v>63</v>
      </c>
      <c r="B9" s="23" t="s">
        <v>141</v>
      </c>
      <c r="C9" s="23" t="s">
        <v>140</v>
      </c>
      <c r="D9" s="40" t="n">
        <f aca="false">D101</f>
        <v>2843.23189636604</v>
      </c>
      <c r="E9" s="40" t="n">
        <f aca="false">F101</f>
        <v>3913.41431155826</v>
      </c>
      <c r="F9" s="41" t="n">
        <f aca="false">D101-F101</f>
        <v>-1070.18241519222</v>
      </c>
      <c r="G9" s="23"/>
    </row>
    <row r="10" customFormat="false" ht="15" hidden="false" customHeight="true" outlineLevel="0" collapsed="false">
      <c r="A10" s="23" t="s">
        <v>63</v>
      </c>
      <c r="B10" s="23" t="s">
        <v>142</v>
      </c>
      <c r="C10" s="23" t="s">
        <v>79</v>
      </c>
      <c r="D10" s="40" t="n">
        <f aca="false">D117</f>
        <v>3601.74638628976</v>
      </c>
      <c r="E10" s="40" t="n">
        <f aca="false">F117</f>
        <v>3913.41431155826</v>
      </c>
      <c r="F10" s="41" t="n">
        <f aca="false">D117-F117</f>
        <v>-311.667925268498</v>
      </c>
      <c r="G10" s="23"/>
    </row>
    <row r="11" customFormat="false" ht="15" hidden="false" customHeight="true" outlineLevel="0" collapsed="false">
      <c r="A11" s="23" t="s">
        <v>63</v>
      </c>
      <c r="B11" s="23" t="s">
        <v>142</v>
      </c>
      <c r="C11" s="23" t="s">
        <v>140</v>
      </c>
      <c r="D11" s="40" t="n">
        <f aca="false">D133</f>
        <v>2874.45490311333</v>
      </c>
      <c r="E11" s="40" t="n">
        <f aca="false">F133</f>
        <v>3913.41431155826</v>
      </c>
      <c r="F11" s="41" t="n">
        <f aca="false">D133-F133</f>
        <v>-1038.95940844493</v>
      </c>
      <c r="G11" s="23"/>
    </row>
    <row r="12" customFormat="false" ht="15" hidden="false" customHeight="true" outlineLevel="0" collapsed="false">
      <c r="A12" s="23" t="s">
        <v>64</v>
      </c>
      <c r="B12" s="23" t="s">
        <v>76</v>
      </c>
      <c r="C12" s="23" t="s">
        <v>79</v>
      </c>
      <c r="D12" s="40" t="n">
        <f aca="false">D149</f>
        <v>3515.18154328503</v>
      </c>
      <c r="E12" s="40" t="n">
        <f aca="false">F149</f>
        <v>3915.17838956203</v>
      </c>
      <c r="F12" s="41" t="n">
        <f aca="false">D149-F149</f>
        <v>-399.996846277</v>
      </c>
      <c r="G12" s="42" t="n">
        <v>-394</v>
      </c>
    </row>
    <row r="13" customFormat="false" ht="15" hidden="false" customHeight="true" outlineLevel="0" collapsed="false">
      <c r="A13" s="23" t="s">
        <v>64</v>
      </c>
      <c r="B13" s="23" t="s">
        <v>76</v>
      </c>
      <c r="C13" s="23" t="s">
        <v>140</v>
      </c>
      <c r="D13" s="40" t="n">
        <f aca="false">D165</f>
        <v>2653.13326675136</v>
      </c>
      <c r="E13" s="40" t="n">
        <f aca="false">F165</f>
        <v>3915.17838956203</v>
      </c>
      <c r="F13" s="41" t="n">
        <f aca="false">D165-F165</f>
        <v>-1262.04512281067</v>
      </c>
      <c r="G13" s="42" t="n">
        <v>-1256</v>
      </c>
    </row>
    <row r="14" customFormat="false" ht="15" hidden="false" customHeight="true" outlineLevel="0" collapsed="false">
      <c r="A14" s="23" t="s">
        <v>64</v>
      </c>
      <c r="B14" s="23" t="s">
        <v>141</v>
      </c>
      <c r="C14" s="23" t="s">
        <v>79</v>
      </c>
      <c r="D14" s="40" t="n">
        <f aca="false">D181</f>
        <v>3482.58097919391</v>
      </c>
      <c r="E14" s="40" t="n">
        <f aca="false">F181</f>
        <v>3915.17838956203</v>
      </c>
      <c r="F14" s="41" t="n">
        <f aca="false">D181-F181</f>
        <v>-432.597410368116</v>
      </c>
      <c r="G14" s="23"/>
    </row>
    <row r="15" customFormat="false" ht="15" hidden="false" customHeight="true" outlineLevel="0" collapsed="false">
      <c r="A15" s="23" t="s">
        <v>64</v>
      </c>
      <c r="B15" s="23" t="s">
        <v>141</v>
      </c>
      <c r="C15" s="23" t="s">
        <v>140</v>
      </c>
      <c r="D15" s="40" t="n">
        <f aca="false">D197</f>
        <v>2274.89471953429</v>
      </c>
      <c r="E15" s="40" t="n">
        <f aca="false">F197</f>
        <v>3915.17838956203</v>
      </c>
      <c r="F15" s="41" t="n">
        <f aca="false">D197-F197</f>
        <v>-1640.28367002774</v>
      </c>
      <c r="G15" s="23"/>
    </row>
    <row r="16" customFormat="false" ht="15" hidden="false" customHeight="true" outlineLevel="0" collapsed="false">
      <c r="A16" s="23" t="s">
        <v>64</v>
      </c>
      <c r="B16" s="23" t="s">
        <v>142</v>
      </c>
      <c r="C16" s="23" t="s">
        <v>79</v>
      </c>
      <c r="D16" s="40" t="n">
        <f aca="false">D213</f>
        <v>3486.85642632854</v>
      </c>
      <c r="E16" s="40" t="n">
        <f aca="false">F213</f>
        <v>3915.17838956203</v>
      </c>
      <c r="F16" s="41" t="n">
        <f aca="false">D213-F213</f>
        <v>-428.321963233487</v>
      </c>
      <c r="G16" s="23"/>
    </row>
    <row r="17" customFormat="false" ht="15" hidden="false" customHeight="true" outlineLevel="0" collapsed="false">
      <c r="A17" s="23" t="s">
        <v>64</v>
      </c>
      <c r="B17" s="23" t="s">
        <v>142</v>
      </c>
      <c r="C17" s="23" t="s">
        <v>140</v>
      </c>
      <c r="D17" s="40" t="n">
        <f aca="false">D229</f>
        <v>2322.79218702258</v>
      </c>
      <c r="E17" s="40" t="n">
        <f aca="false">F229</f>
        <v>3915.17838956203</v>
      </c>
      <c r="F17" s="41" t="n">
        <f aca="false">D229-F229</f>
        <v>-1592.38620253945</v>
      </c>
      <c r="G17" s="23"/>
    </row>
    <row r="18" customFormat="false" ht="15" hidden="false" customHeight="true" outlineLevel="0" collapsed="false">
      <c r="A18" s="23" t="s">
        <v>67</v>
      </c>
      <c r="B18" s="23" t="s">
        <v>76</v>
      </c>
      <c r="C18" s="23" t="s">
        <v>79</v>
      </c>
      <c r="D18" s="40" t="n">
        <f aca="false">D245</f>
        <v>3806.33460323502</v>
      </c>
      <c r="E18" s="40" t="n">
        <f aca="false">F245</f>
        <v>3915.63538541811</v>
      </c>
      <c r="F18" s="41" t="n">
        <f aca="false">D245-F245</f>
        <v>-109.300782183094</v>
      </c>
      <c r="G18" s="42" t="n">
        <v>-104</v>
      </c>
    </row>
    <row r="19" customFormat="false" ht="15" hidden="false" customHeight="true" outlineLevel="0" collapsed="false">
      <c r="A19" s="23" t="s">
        <v>67</v>
      </c>
      <c r="B19" s="23" t="s">
        <v>76</v>
      </c>
      <c r="C19" s="23" t="s">
        <v>140</v>
      </c>
      <c r="D19" s="40" t="n">
        <f aca="false">D261</f>
        <v>3806.33460323502</v>
      </c>
      <c r="E19" s="40" t="n">
        <f aca="false">F261</f>
        <v>3915.63538541811</v>
      </c>
      <c r="F19" s="41" t="n">
        <f aca="false">D261-F261</f>
        <v>-109.300782183094</v>
      </c>
      <c r="G19" s="42" t="n">
        <v>-104</v>
      </c>
    </row>
    <row r="20" customFormat="false" ht="15" hidden="false" customHeight="true" outlineLevel="0" collapsed="false">
      <c r="A20" s="23" t="s">
        <v>67</v>
      </c>
      <c r="B20" s="23" t="s">
        <v>141</v>
      </c>
      <c r="C20" s="23" t="s">
        <v>79</v>
      </c>
      <c r="D20" s="40" t="n">
        <f aca="false">D277</f>
        <v>3777.92909812457</v>
      </c>
      <c r="E20" s="40" t="n">
        <f aca="false">F277</f>
        <v>3915.63538541811</v>
      </c>
      <c r="F20" s="41" t="n">
        <f aca="false">D277-F277</f>
        <v>-137.706287293541</v>
      </c>
      <c r="G20" s="42" t="n">
        <v>-101</v>
      </c>
    </row>
    <row r="21" customFormat="false" ht="15" hidden="false" customHeight="true" outlineLevel="0" collapsed="false">
      <c r="A21" s="23" t="s">
        <v>67</v>
      </c>
      <c r="B21" s="23" t="s">
        <v>141</v>
      </c>
      <c r="C21" s="23" t="s">
        <v>140</v>
      </c>
      <c r="D21" s="40" t="n">
        <f aca="false">D293</f>
        <v>3777.92909812457</v>
      </c>
      <c r="E21" s="40" t="n">
        <f aca="false">F293</f>
        <v>3915.63538541811</v>
      </c>
      <c r="F21" s="41" t="n">
        <f aca="false">D293-F293</f>
        <v>-137.706287293541</v>
      </c>
      <c r="G21" s="23"/>
    </row>
    <row r="22" customFormat="false" ht="15" hidden="false" customHeight="true" outlineLevel="0" collapsed="false">
      <c r="A22" s="23" t="s">
        <v>67</v>
      </c>
      <c r="B22" s="23" t="s">
        <v>142</v>
      </c>
      <c r="C22" s="23" t="s">
        <v>79</v>
      </c>
      <c r="D22" s="40" t="n">
        <f aca="false">D309</f>
        <v>3781.93324701934</v>
      </c>
      <c r="E22" s="40" t="n">
        <f aca="false">F309</f>
        <v>3915.63538541811</v>
      </c>
      <c r="F22" s="41" t="n">
        <f aca="false">D309-F309</f>
        <v>-133.70213839877</v>
      </c>
      <c r="G22" s="23"/>
    </row>
    <row r="23" customFormat="false" ht="15" hidden="false" customHeight="true" outlineLevel="0" collapsed="false">
      <c r="A23" s="23" t="s">
        <v>67</v>
      </c>
      <c r="B23" s="23" t="s">
        <v>142</v>
      </c>
      <c r="C23" s="23" t="s">
        <v>140</v>
      </c>
      <c r="D23" s="40" t="n">
        <f aca="false">D325</f>
        <v>3781.93324701934</v>
      </c>
      <c r="E23" s="40" t="n">
        <f aca="false">F325</f>
        <v>3915.63538541811</v>
      </c>
      <c r="F23" s="41" t="n">
        <f aca="false">D325-F325</f>
        <v>-133.70213839877</v>
      </c>
      <c r="G23" s="23"/>
    </row>
    <row r="24" customFormat="false" ht="15" hidden="false" customHeight="true" outlineLevel="0" collapsed="false">
      <c r="A24" s="23" t="s">
        <v>65</v>
      </c>
      <c r="B24" s="23" t="s">
        <v>76</v>
      </c>
      <c r="C24" s="23" t="s">
        <v>79</v>
      </c>
      <c r="D24" s="40" t="n">
        <f aca="false">D341</f>
        <v>3458.95699740725</v>
      </c>
      <c r="E24" s="40" t="n">
        <f aca="false">F341</f>
        <v>3913.03653761406</v>
      </c>
      <c r="F24" s="41" t="n">
        <f aca="false">D341-F341</f>
        <v>-454.079540206813</v>
      </c>
      <c r="G24" s="42" t="n">
        <v>-450</v>
      </c>
    </row>
    <row r="25" customFormat="false" ht="15" hidden="false" customHeight="true" outlineLevel="0" collapsed="false">
      <c r="A25" s="23" t="s">
        <v>65</v>
      </c>
      <c r="B25" s="23" t="s">
        <v>76</v>
      </c>
      <c r="C25" s="23" t="s">
        <v>140</v>
      </c>
      <c r="D25" s="40" t="n">
        <f aca="false">D357</f>
        <v>2981.12622966779</v>
      </c>
      <c r="E25" s="40" t="n">
        <f aca="false">F357</f>
        <v>3913.03653761406</v>
      </c>
      <c r="F25" s="41" t="n">
        <f aca="false">D357-F357</f>
        <v>-931.910307946278</v>
      </c>
      <c r="G25" s="42" t="n">
        <v>-926</v>
      </c>
    </row>
    <row r="26" customFormat="false" ht="15" hidden="false" customHeight="true" outlineLevel="0" collapsed="false">
      <c r="A26" s="23" t="s">
        <v>65</v>
      </c>
      <c r="B26" s="23" t="s">
        <v>141</v>
      </c>
      <c r="C26" s="23" t="s">
        <v>79</v>
      </c>
      <c r="D26" s="40" t="n">
        <f aca="false">D373</f>
        <v>3488.18837596269</v>
      </c>
      <c r="E26" s="40" t="n">
        <f aca="false">F373</f>
        <v>3913.03653761406</v>
      </c>
      <c r="F26" s="41" t="n">
        <f aca="false">D373-F373</f>
        <v>-424.848161651376</v>
      </c>
      <c r="G26" s="42" t="n">
        <v>-390</v>
      </c>
    </row>
    <row r="27" customFormat="false" ht="15" hidden="false" customHeight="true" outlineLevel="0" collapsed="false">
      <c r="A27" s="23" t="s">
        <v>65</v>
      </c>
      <c r="B27" s="23" t="s">
        <v>141</v>
      </c>
      <c r="C27" s="23" t="s">
        <v>140</v>
      </c>
      <c r="D27" s="40" t="n">
        <f aca="false">D389</f>
        <v>2858.1832526787</v>
      </c>
      <c r="E27" s="40" t="n">
        <f aca="false">F389</f>
        <v>3913.03653761406</v>
      </c>
      <c r="F27" s="41" t="n">
        <f aca="false">D389-F389</f>
        <v>-1054.85328493536</v>
      </c>
      <c r="G27" s="23"/>
    </row>
    <row r="28" customFormat="false" ht="15" hidden="false" customHeight="true" outlineLevel="0" collapsed="false">
      <c r="A28" s="23" t="s">
        <v>65</v>
      </c>
      <c r="B28" s="23" t="s">
        <v>142</v>
      </c>
      <c r="C28" s="23" t="s">
        <v>79</v>
      </c>
      <c r="D28" s="40" t="n">
        <f aca="false">D405</f>
        <v>3484.72600101133</v>
      </c>
      <c r="E28" s="40" t="n">
        <f aca="false">F405</f>
        <v>3913.03653761406</v>
      </c>
      <c r="F28" s="41" t="n">
        <f aca="false">D405-F405</f>
        <v>-428.310536602732</v>
      </c>
      <c r="G28" s="23"/>
    </row>
    <row r="29" customFormat="false" ht="15" hidden="false" customHeight="true" outlineLevel="0" collapsed="false">
      <c r="A29" s="23" t="s">
        <v>65</v>
      </c>
      <c r="B29" s="23" t="s">
        <v>142</v>
      </c>
      <c r="C29" s="23" t="s">
        <v>140</v>
      </c>
      <c r="D29" s="40" t="n">
        <f aca="false">D421</f>
        <v>2873.92638510484</v>
      </c>
      <c r="E29" s="40" t="n">
        <f aca="false">F421</f>
        <v>3913.03653761406</v>
      </c>
      <c r="F29" s="41" t="n">
        <f aca="false">D421-F421</f>
        <v>-1039.11015250922</v>
      </c>
      <c r="G29" s="23"/>
    </row>
    <row r="30" customFormat="false" ht="15" hidden="false" customHeight="true" outlineLevel="0" collapsed="false">
      <c r="A30" s="23" t="s">
        <v>66</v>
      </c>
      <c r="B30" s="23" t="s">
        <v>76</v>
      </c>
      <c r="C30" s="23" t="s">
        <v>79</v>
      </c>
      <c r="D30" s="40" t="n">
        <f aca="false">D437</f>
        <v>3400.58055496043</v>
      </c>
      <c r="E30" s="40" t="n">
        <f aca="false">F437</f>
        <v>3910.56563346297</v>
      </c>
      <c r="F30" s="41" t="n">
        <f aca="false">D437-F437</f>
        <v>-509.985078502543</v>
      </c>
      <c r="G30" s="42" t="n">
        <v>-512</v>
      </c>
    </row>
    <row r="31" customFormat="false" ht="15" hidden="false" customHeight="true" outlineLevel="0" collapsed="false">
      <c r="A31" s="23" t="s">
        <v>66</v>
      </c>
      <c r="B31" s="23" t="s">
        <v>76</v>
      </c>
      <c r="C31" s="23" t="s">
        <v>140</v>
      </c>
      <c r="D31" s="40" t="n">
        <f aca="false">D453</f>
        <v>3134.01125873355</v>
      </c>
      <c r="E31" s="40" t="n">
        <f aca="false">F453</f>
        <v>3910.56563346297</v>
      </c>
      <c r="F31" s="41" t="n">
        <f aca="false">D453-F453</f>
        <v>-776.554374729419</v>
      </c>
      <c r="G31" s="42" t="n">
        <v>-776</v>
      </c>
    </row>
    <row r="32" customFormat="false" ht="15" hidden="false" customHeight="true" outlineLevel="0" collapsed="false">
      <c r="A32" s="23" t="s">
        <v>66</v>
      </c>
      <c r="B32" s="23" t="s">
        <v>141</v>
      </c>
      <c r="C32" s="23" t="s">
        <v>79</v>
      </c>
      <c r="D32" s="40" t="n">
        <f aca="false">D469</f>
        <v>3455.75468586249</v>
      </c>
      <c r="E32" s="40" t="n">
        <f aca="false">F469</f>
        <v>3910.56563346297</v>
      </c>
      <c r="F32" s="41" t="n">
        <f aca="false">D469-F469</f>
        <v>-454.810947600477</v>
      </c>
      <c r="G32" s="42" t="n">
        <v>-437</v>
      </c>
    </row>
    <row r="33" customFormat="false" ht="15" hidden="false" customHeight="true" outlineLevel="0" collapsed="false">
      <c r="A33" s="23" t="s">
        <v>66</v>
      </c>
      <c r="B33" s="23" t="s">
        <v>141</v>
      </c>
      <c r="C33" s="23" t="s">
        <v>140</v>
      </c>
      <c r="D33" s="40" t="n">
        <f aca="false">D485</f>
        <v>3144.9883676866</v>
      </c>
      <c r="E33" s="40" t="n">
        <f aca="false">F485</f>
        <v>3910.56563346297</v>
      </c>
      <c r="F33" s="41" t="n">
        <f aca="false">D485-F485</f>
        <v>-765.577265776372</v>
      </c>
      <c r="G33" s="23"/>
    </row>
    <row r="34" customFormat="false" ht="15" hidden="false" customHeight="true" outlineLevel="0" collapsed="false">
      <c r="A34" s="23" t="s">
        <v>66</v>
      </c>
      <c r="B34" s="23" t="s">
        <v>142</v>
      </c>
      <c r="C34" s="23" t="s">
        <v>79</v>
      </c>
      <c r="D34" s="40" t="n">
        <f aca="false">D501</f>
        <v>3448.94232851539</v>
      </c>
      <c r="E34" s="40" t="n">
        <f aca="false">F501</f>
        <v>3910.56563346297</v>
      </c>
      <c r="F34" s="41" t="n">
        <f aca="false">D501-F501</f>
        <v>-461.623304947579</v>
      </c>
      <c r="G34" s="23"/>
    </row>
    <row r="35" customFormat="false" ht="15" hidden="false" customHeight="true" outlineLevel="0" collapsed="false">
      <c r="A35" s="23" t="s">
        <v>66</v>
      </c>
      <c r="B35" s="23" t="s">
        <v>142</v>
      </c>
      <c r="C35" s="23" t="s">
        <v>140</v>
      </c>
      <c r="D35" s="40" t="n">
        <f aca="false">D517</f>
        <v>3143.75399506674</v>
      </c>
      <c r="E35" s="40" t="n">
        <f aca="false">F517</f>
        <v>3910.56563346297</v>
      </c>
      <c r="F35" s="41" t="n">
        <f aca="false">D517-F517</f>
        <v>-766.811638396232</v>
      </c>
      <c r="G35" s="23"/>
    </row>
    <row r="37" customFormat="false" ht="15" hidden="false" customHeight="true" outlineLevel="0" collapsed="false">
      <c r="A37" s="38" t="s">
        <v>143</v>
      </c>
      <c r="B37" s="39"/>
      <c r="C37" s="39"/>
      <c r="D37" s="39"/>
      <c r="E37" s="39"/>
      <c r="F37" s="39"/>
      <c r="G37" s="39"/>
      <c r="H37" s="39"/>
      <c r="I37" s="39"/>
    </row>
    <row r="39" customFormat="false" ht="15" hidden="false" customHeight="true" outlineLevel="0" collapsed="false">
      <c r="A39" s="27" t="s">
        <v>144</v>
      </c>
    </row>
    <row r="40" customFormat="false" ht="21.75" hidden="false" customHeight="true" outlineLevel="0" collapsed="false">
      <c r="A40" s="43" t="s">
        <v>92</v>
      </c>
      <c r="B40" s="43" t="s">
        <v>145</v>
      </c>
      <c r="C40" s="43" t="s">
        <v>146</v>
      </c>
      <c r="D40" s="43" t="s">
        <v>147</v>
      </c>
      <c r="E40" s="43" t="s">
        <v>148</v>
      </c>
      <c r="F40" s="43" t="s">
        <v>149</v>
      </c>
    </row>
    <row r="41" customFormat="false" ht="15" hidden="false" customHeight="true" outlineLevel="0" collapsed="false">
      <c r="A41" s="23" t="n">
        <v>1</v>
      </c>
      <c r="B41" s="24" t="b">
        <f aca="false">A41&lt;=Inputs!$B$17</f>
        <v>1</v>
      </c>
      <c r="C41" s="25" t="n">
        <f aca="false">VLOOKUP("25",Inputs!$A$29:$K$33,2,FALSE())</f>
        <v>0.6</v>
      </c>
      <c r="D41" s="26" t="n">
        <f aca="false">IF(B41,C41*(VLOOKUP("25",Inputs!$A$29:$K$33,3,FALSE())*(Inputs!$B$25/14)*Inputs!$B$5+VLOOKUP("25",Inputs!$A$29:$K$33,4,FALSE())*(Inputs!$B$25/14)*Inputs!$B$12+VLOOKUP("25",Inputs!$A$29:$K$33,5,FALSE())*(Inputs!$B$25/14)*Inputs!$B$13)+(1-C41)*(VLOOKUP("25",Inputs!$A$29:$K$33,6,FALSE())*(Inputs!$B$25/14)*Inputs!$B$5+VLOOKUP("25",Inputs!$A$29:$K$33,7,FALSE())*(Inputs!$B$25/14)*Inputs!$B$12+VLOOKUP("25",Inputs!$A$29:$K$33,8,FALSE())*(Inputs!$B$25/14)*Inputs!$B$13),C41*((VLOOKUP("25",Inputs!$A$29:$K$33,3,FALSE())*(Inputs!$B$25/14)*Inputs!$B$5+VLOOKUP("25",Inputs!$A$29:$K$33,4,FALSE())*(Inputs!$B$25/14)*Inputs!$B$12+VLOOKUP("25",Inputs!$A$29:$K$33,5,FALSE())*(Inputs!$B$25/14)*Inputs!$B$13)+Inputs!$B$18)+(1-C41)*((INDEX(Inputs!$A$37:$C$37,1,1)*(Inputs!$B$25/14)*Inputs!$B$5+INDEX(Inputs!$A$37:$C$37,1,2)*(Inputs!$B$25/14)*Inputs!$B$12+INDEX(Inputs!$A$37:$C$37,1,3)*(Inputs!$B$25/14)*Inputs!$B$13)))</f>
        <v>189.059008761607</v>
      </c>
      <c r="E41" s="25" t="n">
        <f aca="false">Inputs!$B$21</f>
        <v>0.083</v>
      </c>
      <c r="F41" s="26" t="n">
        <f aca="false">E41*(VLOOKUP("25",Inputs!$A$29:$K$33,3,FALSE())*(Inputs!$B$25/14)*Inputs!$B$5+VLOOKUP("25",Inputs!$A$29:$K$33,4,FALSE())*(Inputs!$B$25/14)*Inputs!$B$12+VLOOKUP("25",Inputs!$A$29:$K$33,5,FALSE())*(Inputs!$B$25/14)*Inputs!$B$13)+(1-E41)*(INDEX(Inputs!$A$37:$C$37,1,1)*(Inputs!$B$25/14)*Inputs!$B$5+INDEX(Inputs!$A$37:$C$37,1,2)*(Inputs!$B$25/14)*Inputs!$B$12+INDEX(Inputs!$A$37:$C$37,1,3)*(Inputs!$B$25/14)*Inputs!$B$13)</f>
        <v>309.859061669866</v>
      </c>
    </row>
    <row r="42" customFormat="false" ht="15" hidden="false" customHeight="true" outlineLevel="0" collapsed="false">
      <c r="A42" s="23" t="n">
        <v>2</v>
      </c>
      <c r="B42" s="24" t="b">
        <f aca="false">A42&lt;=Inputs!$B$17</f>
        <v>1</v>
      </c>
      <c r="C42" s="25" t="n">
        <f aca="false">IF(A42=2,C41*(1-Inputs!$B$22),C41)</f>
        <v>0.414</v>
      </c>
      <c r="D42" s="26" t="n">
        <f aca="false">IF(B42,C42*(VLOOKUP("25",Inputs!$A$29:$K$33,3,FALSE())*(Inputs!$B$25/14)*Inputs!$B$5+VLOOKUP("25",Inputs!$A$29:$K$33,4,FALSE())*(Inputs!$B$25/14)*Inputs!$B$12+VLOOKUP("25",Inputs!$A$29:$K$33,5,FALSE())*(Inputs!$B$25/14)*Inputs!$B$13)+(1-C42)*(VLOOKUP("25",Inputs!$A$29:$K$33,6,FALSE())*(Inputs!$B$25/14)*Inputs!$B$5+VLOOKUP("25",Inputs!$A$29:$K$33,7,FALSE())*(Inputs!$B$25/14)*Inputs!$B$12+VLOOKUP("25",Inputs!$A$29:$K$33,8,FALSE())*(Inputs!$B$25/14)*Inputs!$B$13),C42*((VLOOKUP("25",Inputs!$A$29:$K$33,3,FALSE())*(Inputs!$B$25/14)*Inputs!$B$5+VLOOKUP("25",Inputs!$A$29:$K$33,4,FALSE())*(Inputs!$B$25/14)*Inputs!$B$12+VLOOKUP("25",Inputs!$A$29:$K$33,5,FALSE())*(Inputs!$B$25/14)*Inputs!$B$13)+Inputs!$B$18)+(1-C42)*((INDEX(Inputs!$A$37:$C$37,1,1)*(Inputs!$B$25/14)*Inputs!$B$5+INDEX(Inputs!$A$37:$C$37,1,2)*(Inputs!$B$25/14)*Inputs!$B$12+INDEX(Inputs!$A$37:$C$37,1,3)*(Inputs!$B$25/14)*Inputs!$B$13)))</f>
        <v>224.008551764884</v>
      </c>
      <c r="E42" s="25" t="n">
        <f aca="false">0</f>
        <v>0</v>
      </c>
      <c r="F4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" customFormat="false" ht="15" hidden="false" customHeight="true" outlineLevel="0" collapsed="false">
      <c r="A43" s="23" t="n">
        <v>3</v>
      </c>
      <c r="B43" s="24" t="b">
        <f aca="false">A43&lt;=Inputs!$B$17</f>
        <v>1</v>
      </c>
      <c r="C43" s="25" t="n">
        <f aca="false">IF(A43=2,C42*(1-Inputs!$B$22),C42)</f>
        <v>0.414</v>
      </c>
      <c r="D43" s="26" t="n">
        <f aca="false">IF(B43,C43*(VLOOKUP("25",Inputs!$A$29:$K$33,3,FALSE())*(Inputs!$B$25/14)*Inputs!$B$5+VLOOKUP("25",Inputs!$A$29:$K$33,4,FALSE())*(Inputs!$B$25/14)*Inputs!$B$12+VLOOKUP("25",Inputs!$A$29:$K$33,5,FALSE())*(Inputs!$B$25/14)*Inputs!$B$13)+(1-C43)*(VLOOKUP("25",Inputs!$A$29:$K$33,6,FALSE())*(Inputs!$B$25/14)*Inputs!$B$5+VLOOKUP("25",Inputs!$A$29:$K$33,7,FALSE())*(Inputs!$B$25/14)*Inputs!$B$12+VLOOKUP("25",Inputs!$A$29:$K$33,8,FALSE())*(Inputs!$B$25/14)*Inputs!$B$13),C43*((VLOOKUP("25",Inputs!$A$29:$K$33,3,FALSE())*(Inputs!$B$25/14)*Inputs!$B$5+VLOOKUP("25",Inputs!$A$29:$K$33,4,FALSE())*(Inputs!$B$25/14)*Inputs!$B$12+VLOOKUP("25",Inputs!$A$29:$K$33,5,FALSE())*(Inputs!$B$25/14)*Inputs!$B$13)+Inputs!$B$18)+(1-C43)*((INDEX(Inputs!$A$37:$C$37,1,1)*(Inputs!$B$25/14)*Inputs!$B$5+INDEX(Inputs!$A$37:$C$37,1,2)*(Inputs!$B$25/14)*Inputs!$B$12+INDEX(Inputs!$A$37:$C$37,1,3)*(Inputs!$B$25/14)*Inputs!$B$13)))</f>
        <v>224.008551764884</v>
      </c>
      <c r="E43" s="25" t="n">
        <f aca="false">0</f>
        <v>0</v>
      </c>
      <c r="F4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" customFormat="false" ht="15" hidden="false" customHeight="true" outlineLevel="0" collapsed="false">
      <c r="A44" s="23" t="n">
        <v>4</v>
      </c>
      <c r="B44" s="24" t="b">
        <f aca="false">A44&lt;=Inputs!$B$17</f>
        <v>0</v>
      </c>
      <c r="C44" s="25" t="n">
        <f aca="false">IF(A44=2,C43*(1-Inputs!$B$22),C43)</f>
        <v>0.414</v>
      </c>
      <c r="D44" s="26" t="n">
        <f aca="false">IF(B44,C44*(VLOOKUP("25",Inputs!$A$29:$K$33,3,FALSE())*(Inputs!$B$25/14)*Inputs!$B$5+VLOOKUP("25",Inputs!$A$29:$K$33,4,FALSE())*(Inputs!$B$25/14)*Inputs!$B$12+VLOOKUP("25",Inputs!$A$29:$K$33,5,FALSE())*(Inputs!$B$25/14)*Inputs!$B$13)+(1-C44)*(VLOOKUP("25",Inputs!$A$29:$K$33,6,FALSE())*(Inputs!$B$25/14)*Inputs!$B$5+VLOOKUP("25",Inputs!$A$29:$K$33,7,FALSE())*(Inputs!$B$25/14)*Inputs!$B$12+VLOOKUP("25",Inputs!$A$29:$K$33,8,FALSE())*(Inputs!$B$25/14)*Inputs!$B$13),C44*((VLOOKUP("25",Inputs!$A$29:$K$33,3,FALSE())*(Inputs!$B$25/14)*Inputs!$B$5+VLOOKUP("25",Inputs!$A$29:$K$33,4,FALSE())*(Inputs!$B$25/14)*Inputs!$B$12+VLOOKUP("25",Inputs!$A$29:$K$33,5,FALSE())*(Inputs!$B$25/14)*Inputs!$B$13)+Inputs!$B$18)+(1-C44)*((INDEX(Inputs!$A$37:$C$37,1,1)*(Inputs!$B$25/14)*Inputs!$B$5+INDEX(Inputs!$A$37:$C$37,1,2)*(Inputs!$B$25/14)*Inputs!$B$12+INDEX(Inputs!$A$37:$C$37,1,3)*(Inputs!$B$25/14)*Inputs!$B$13)))</f>
        <v>325.375278347768</v>
      </c>
      <c r="E44" s="25" t="n">
        <f aca="false">0</f>
        <v>0</v>
      </c>
      <c r="F4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5" customFormat="false" ht="15" hidden="false" customHeight="true" outlineLevel="0" collapsed="false">
      <c r="A45" s="23" t="n">
        <v>5</v>
      </c>
      <c r="B45" s="24" t="b">
        <f aca="false">A45&lt;=Inputs!$B$17</f>
        <v>0</v>
      </c>
      <c r="C45" s="25" t="n">
        <f aca="false">IF(A45=2,C44*(1-Inputs!$B$22),C44)</f>
        <v>0.414</v>
      </c>
      <c r="D45" s="26" t="n">
        <f aca="false">IF(B45,C45*(VLOOKUP("25",Inputs!$A$29:$K$33,3,FALSE())*(Inputs!$B$25/14)*Inputs!$B$5+VLOOKUP("25",Inputs!$A$29:$K$33,4,FALSE())*(Inputs!$B$25/14)*Inputs!$B$12+VLOOKUP("25",Inputs!$A$29:$K$33,5,FALSE())*(Inputs!$B$25/14)*Inputs!$B$13)+(1-C45)*(VLOOKUP("25",Inputs!$A$29:$K$33,6,FALSE())*(Inputs!$B$25/14)*Inputs!$B$5+VLOOKUP("25",Inputs!$A$29:$K$33,7,FALSE())*(Inputs!$B$25/14)*Inputs!$B$12+VLOOKUP("25",Inputs!$A$29:$K$33,8,FALSE())*(Inputs!$B$25/14)*Inputs!$B$13),C45*((VLOOKUP("25",Inputs!$A$29:$K$33,3,FALSE())*(Inputs!$B$25/14)*Inputs!$B$5+VLOOKUP("25",Inputs!$A$29:$K$33,4,FALSE())*(Inputs!$B$25/14)*Inputs!$B$12+VLOOKUP("25",Inputs!$A$29:$K$33,5,FALSE())*(Inputs!$B$25/14)*Inputs!$B$13)+Inputs!$B$18)+(1-C45)*((INDEX(Inputs!$A$37:$C$37,1,1)*(Inputs!$B$25/14)*Inputs!$B$5+INDEX(Inputs!$A$37:$C$37,1,2)*(Inputs!$B$25/14)*Inputs!$B$12+INDEX(Inputs!$A$37:$C$37,1,3)*(Inputs!$B$25/14)*Inputs!$B$13)))</f>
        <v>325.375278347768</v>
      </c>
      <c r="E45" s="25" t="n">
        <f aca="false">0</f>
        <v>0</v>
      </c>
      <c r="F4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" customFormat="false" ht="15" hidden="false" customHeight="true" outlineLevel="0" collapsed="false">
      <c r="A46" s="23" t="n">
        <v>6</v>
      </c>
      <c r="B46" s="24" t="b">
        <f aca="false">A46&lt;=Inputs!$B$17</f>
        <v>0</v>
      </c>
      <c r="C46" s="25" t="n">
        <f aca="false">IF(A46=2,C45*(1-Inputs!$B$22),C45)</f>
        <v>0.414</v>
      </c>
      <c r="D46" s="26" t="n">
        <f aca="false">IF(B46,C46*(VLOOKUP("25",Inputs!$A$29:$K$33,3,FALSE())*(Inputs!$B$25/14)*Inputs!$B$5+VLOOKUP("25",Inputs!$A$29:$K$33,4,FALSE())*(Inputs!$B$25/14)*Inputs!$B$12+VLOOKUP("25",Inputs!$A$29:$K$33,5,FALSE())*(Inputs!$B$25/14)*Inputs!$B$13)+(1-C46)*(VLOOKUP("25",Inputs!$A$29:$K$33,6,FALSE())*(Inputs!$B$25/14)*Inputs!$B$5+VLOOKUP("25",Inputs!$A$29:$K$33,7,FALSE())*(Inputs!$B$25/14)*Inputs!$B$12+VLOOKUP("25",Inputs!$A$29:$K$33,8,FALSE())*(Inputs!$B$25/14)*Inputs!$B$13),C46*((VLOOKUP("25",Inputs!$A$29:$K$33,3,FALSE())*(Inputs!$B$25/14)*Inputs!$B$5+VLOOKUP("25",Inputs!$A$29:$K$33,4,FALSE())*(Inputs!$B$25/14)*Inputs!$B$12+VLOOKUP("25",Inputs!$A$29:$K$33,5,FALSE())*(Inputs!$B$25/14)*Inputs!$B$13)+Inputs!$B$18)+(1-C46)*((INDEX(Inputs!$A$37:$C$37,1,1)*(Inputs!$B$25/14)*Inputs!$B$5+INDEX(Inputs!$A$37:$C$37,1,2)*(Inputs!$B$25/14)*Inputs!$B$12+INDEX(Inputs!$A$37:$C$37,1,3)*(Inputs!$B$25/14)*Inputs!$B$13)))</f>
        <v>325.375278347768</v>
      </c>
      <c r="E46" s="25" t="n">
        <f aca="false">0</f>
        <v>0</v>
      </c>
      <c r="F4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7" customFormat="false" ht="15" hidden="false" customHeight="true" outlineLevel="0" collapsed="false">
      <c r="A47" s="23" t="n">
        <v>7</v>
      </c>
      <c r="B47" s="24" t="b">
        <f aca="false">A47&lt;=Inputs!$B$17</f>
        <v>0</v>
      </c>
      <c r="C47" s="25" t="n">
        <f aca="false">IF(A47=2,C46*(1-Inputs!$B$22),C46)</f>
        <v>0.414</v>
      </c>
      <c r="D47" s="26" t="n">
        <f aca="false">IF(B47,C47*(VLOOKUP("25",Inputs!$A$29:$K$33,3,FALSE())*(Inputs!$B$25/14)*Inputs!$B$5+VLOOKUP("25",Inputs!$A$29:$K$33,4,FALSE())*(Inputs!$B$25/14)*Inputs!$B$12+VLOOKUP("25",Inputs!$A$29:$K$33,5,FALSE())*(Inputs!$B$25/14)*Inputs!$B$13)+(1-C47)*(VLOOKUP("25",Inputs!$A$29:$K$33,6,FALSE())*(Inputs!$B$25/14)*Inputs!$B$5+VLOOKUP("25",Inputs!$A$29:$K$33,7,FALSE())*(Inputs!$B$25/14)*Inputs!$B$12+VLOOKUP("25",Inputs!$A$29:$K$33,8,FALSE())*(Inputs!$B$25/14)*Inputs!$B$13),C47*((VLOOKUP("25",Inputs!$A$29:$K$33,3,FALSE())*(Inputs!$B$25/14)*Inputs!$B$5+VLOOKUP("25",Inputs!$A$29:$K$33,4,FALSE())*(Inputs!$B$25/14)*Inputs!$B$12+VLOOKUP("25",Inputs!$A$29:$K$33,5,FALSE())*(Inputs!$B$25/14)*Inputs!$B$13)+Inputs!$B$18)+(1-C47)*((INDEX(Inputs!$A$37:$C$37,1,1)*(Inputs!$B$25/14)*Inputs!$B$5+INDEX(Inputs!$A$37:$C$37,1,2)*(Inputs!$B$25/14)*Inputs!$B$12+INDEX(Inputs!$A$37:$C$37,1,3)*(Inputs!$B$25/14)*Inputs!$B$13)))</f>
        <v>325.375278347768</v>
      </c>
      <c r="E47" s="25" t="n">
        <f aca="false">0</f>
        <v>0</v>
      </c>
      <c r="F4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" customFormat="false" ht="15" hidden="false" customHeight="true" outlineLevel="0" collapsed="false">
      <c r="A48" s="23" t="n">
        <v>8</v>
      </c>
      <c r="B48" s="24" t="b">
        <f aca="false">A48&lt;=Inputs!$B$17</f>
        <v>0</v>
      </c>
      <c r="C48" s="25" t="n">
        <f aca="false">IF(A48=2,C47*(1-Inputs!$B$22),C47)</f>
        <v>0.414</v>
      </c>
      <c r="D48" s="26" t="n">
        <f aca="false">IF(B48,C48*(VLOOKUP("25",Inputs!$A$29:$K$33,3,FALSE())*(Inputs!$B$25/14)*Inputs!$B$5+VLOOKUP("25",Inputs!$A$29:$K$33,4,FALSE())*(Inputs!$B$25/14)*Inputs!$B$12+VLOOKUP("25",Inputs!$A$29:$K$33,5,FALSE())*(Inputs!$B$25/14)*Inputs!$B$13)+(1-C48)*(VLOOKUP("25",Inputs!$A$29:$K$33,6,FALSE())*(Inputs!$B$25/14)*Inputs!$B$5+VLOOKUP("25",Inputs!$A$29:$K$33,7,FALSE())*(Inputs!$B$25/14)*Inputs!$B$12+VLOOKUP("25",Inputs!$A$29:$K$33,8,FALSE())*(Inputs!$B$25/14)*Inputs!$B$13),C48*((VLOOKUP("25",Inputs!$A$29:$K$33,3,FALSE())*(Inputs!$B$25/14)*Inputs!$B$5+VLOOKUP("25",Inputs!$A$29:$K$33,4,FALSE())*(Inputs!$B$25/14)*Inputs!$B$12+VLOOKUP("25",Inputs!$A$29:$K$33,5,FALSE())*(Inputs!$B$25/14)*Inputs!$B$13)+Inputs!$B$18)+(1-C48)*((INDEX(Inputs!$A$37:$C$37,1,1)*(Inputs!$B$25/14)*Inputs!$B$5+INDEX(Inputs!$A$37:$C$37,1,2)*(Inputs!$B$25/14)*Inputs!$B$12+INDEX(Inputs!$A$37:$C$37,1,3)*(Inputs!$B$25/14)*Inputs!$B$13)))</f>
        <v>325.375278347768</v>
      </c>
      <c r="E48" s="25" t="n">
        <f aca="false">0</f>
        <v>0</v>
      </c>
      <c r="F4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" customFormat="false" ht="15" hidden="false" customHeight="true" outlineLevel="0" collapsed="false">
      <c r="A49" s="23" t="n">
        <v>9</v>
      </c>
      <c r="B49" s="24" t="b">
        <f aca="false">A49&lt;=Inputs!$B$17</f>
        <v>0</v>
      </c>
      <c r="C49" s="25" t="n">
        <f aca="false">IF(A49=2,C48*(1-Inputs!$B$22),C48)</f>
        <v>0.414</v>
      </c>
      <c r="D49" s="26" t="n">
        <f aca="false">IF(B49,C49*(VLOOKUP("25",Inputs!$A$29:$K$33,3,FALSE())*(Inputs!$B$25/14)*Inputs!$B$5+VLOOKUP("25",Inputs!$A$29:$K$33,4,FALSE())*(Inputs!$B$25/14)*Inputs!$B$12+VLOOKUP("25",Inputs!$A$29:$K$33,5,FALSE())*(Inputs!$B$25/14)*Inputs!$B$13)+(1-C49)*(VLOOKUP("25",Inputs!$A$29:$K$33,6,FALSE())*(Inputs!$B$25/14)*Inputs!$B$5+VLOOKUP("25",Inputs!$A$29:$K$33,7,FALSE())*(Inputs!$B$25/14)*Inputs!$B$12+VLOOKUP("25",Inputs!$A$29:$K$33,8,FALSE())*(Inputs!$B$25/14)*Inputs!$B$13),C49*((VLOOKUP("25",Inputs!$A$29:$K$33,3,FALSE())*(Inputs!$B$25/14)*Inputs!$B$5+VLOOKUP("25",Inputs!$A$29:$K$33,4,FALSE())*(Inputs!$B$25/14)*Inputs!$B$12+VLOOKUP("25",Inputs!$A$29:$K$33,5,FALSE())*(Inputs!$B$25/14)*Inputs!$B$13)+Inputs!$B$18)+(1-C49)*((INDEX(Inputs!$A$37:$C$37,1,1)*(Inputs!$B$25/14)*Inputs!$B$5+INDEX(Inputs!$A$37:$C$37,1,2)*(Inputs!$B$25/14)*Inputs!$B$12+INDEX(Inputs!$A$37:$C$37,1,3)*(Inputs!$B$25/14)*Inputs!$B$13)))</f>
        <v>325.375278347768</v>
      </c>
      <c r="E49" s="25" t="n">
        <f aca="false">0</f>
        <v>0</v>
      </c>
      <c r="F4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0" customFormat="false" ht="15" hidden="false" customHeight="true" outlineLevel="0" collapsed="false">
      <c r="A50" s="23" t="n">
        <v>10</v>
      </c>
      <c r="B50" s="24" t="b">
        <f aca="false">A50&lt;=Inputs!$B$17</f>
        <v>0</v>
      </c>
      <c r="C50" s="25" t="n">
        <f aca="false">IF(A50=2,C49*(1-Inputs!$B$22),C49)</f>
        <v>0.414</v>
      </c>
      <c r="D50" s="26" t="n">
        <f aca="false">IF(B50,C50*(VLOOKUP("25",Inputs!$A$29:$K$33,3,FALSE())*(Inputs!$B$25/14)*Inputs!$B$5+VLOOKUP("25",Inputs!$A$29:$K$33,4,FALSE())*(Inputs!$B$25/14)*Inputs!$B$12+VLOOKUP("25",Inputs!$A$29:$K$33,5,FALSE())*(Inputs!$B$25/14)*Inputs!$B$13)+(1-C50)*(VLOOKUP("25",Inputs!$A$29:$K$33,6,FALSE())*(Inputs!$B$25/14)*Inputs!$B$5+VLOOKUP("25",Inputs!$A$29:$K$33,7,FALSE())*(Inputs!$B$25/14)*Inputs!$B$12+VLOOKUP("25",Inputs!$A$29:$K$33,8,FALSE())*(Inputs!$B$25/14)*Inputs!$B$13),C50*((VLOOKUP("25",Inputs!$A$29:$K$33,3,FALSE())*(Inputs!$B$25/14)*Inputs!$B$5+VLOOKUP("25",Inputs!$A$29:$K$33,4,FALSE())*(Inputs!$B$25/14)*Inputs!$B$12+VLOOKUP("25",Inputs!$A$29:$K$33,5,FALSE())*(Inputs!$B$25/14)*Inputs!$B$13)+Inputs!$B$18)+(1-C50)*((INDEX(Inputs!$A$37:$C$37,1,1)*(Inputs!$B$25/14)*Inputs!$B$5+INDEX(Inputs!$A$37:$C$37,1,2)*(Inputs!$B$25/14)*Inputs!$B$12+INDEX(Inputs!$A$37:$C$37,1,3)*(Inputs!$B$25/14)*Inputs!$B$13)))</f>
        <v>325.375278347768</v>
      </c>
      <c r="E50" s="25" t="n">
        <f aca="false">0</f>
        <v>0</v>
      </c>
      <c r="F5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" customFormat="false" ht="15" hidden="false" customHeight="true" outlineLevel="0" collapsed="false">
      <c r="A51" s="23" t="n">
        <v>11</v>
      </c>
      <c r="B51" s="24" t="b">
        <f aca="false">A51&lt;=Inputs!$B$17</f>
        <v>0</v>
      </c>
      <c r="C51" s="25" t="n">
        <f aca="false">IF(A51=2,C50*(1-Inputs!$B$22),C50)</f>
        <v>0.414</v>
      </c>
      <c r="D51" s="26" t="n">
        <f aca="false">IF(B51,C51*(VLOOKUP("25",Inputs!$A$29:$K$33,3,FALSE())*(Inputs!$B$25/14)*Inputs!$B$5+VLOOKUP("25",Inputs!$A$29:$K$33,4,FALSE())*(Inputs!$B$25/14)*Inputs!$B$12+VLOOKUP("25",Inputs!$A$29:$K$33,5,FALSE())*(Inputs!$B$25/14)*Inputs!$B$13)+(1-C51)*(VLOOKUP("25",Inputs!$A$29:$K$33,6,FALSE())*(Inputs!$B$25/14)*Inputs!$B$5+VLOOKUP("25",Inputs!$A$29:$K$33,7,FALSE())*(Inputs!$B$25/14)*Inputs!$B$12+VLOOKUP("25",Inputs!$A$29:$K$33,8,FALSE())*(Inputs!$B$25/14)*Inputs!$B$13),C51*((VLOOKUP("25",Inputs!$A$29:$K$33,3,FALSE())*(Inputs!$B$25/14)*Inputs!$B$5+VLOOKUP("25",Inputs!$A$29:$K$33,4,FALSE())*(Inputs!$B$25/14)*Inputs!$B$12+VLOOKUP("25",Inputs!$A$29:$K$33,5,FALSE())*(Inputs!$B$25/14)*Inputs!$B$13)+Inputs!$B$18)+(1-C51)*((INDEX(Inputs!$A$37:$C$37,1,1)*(Inputs!$B$25/14)*Inputs!$B$5+INDEX(Inputs!$A$37:$C$37,1,2)*(Inputs!$B$25/14)*Inputs!$B$12+INDEX(Inputs!$A$37:$C$37,1,3)*(Inputs!$B$25/14)*Inputs!$B$13)))</f>
        <v>325.375278347768</v>
      </c>
      <c r="E51" s="25" t="n">
        <f aca="false">0</f>
        <v>0</v>
      </c>
      <c r="F5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2" customFormat="false" ht="15" hidden="false" customHeight="true" outlineLevel="0" collapsed="false">
      <c r="A52" s="23" t="n">
        <v>12</v>
      </c>
      <c r="B52" s="24" t="b">
        <f aca="false">A52&lt;=Inputs!$B$17</f>
        <v>0</v>
      </c>
      <c r="C52" s="25" t="n">
        <f aca="false">IF(A52=2,C51*(1-Inputs!$B$22),C51)</f>
        <v>0.414</v>
      </c>
      <c r="D52" s="26" t="n">
        <f aca="false">IF(B52,C52*(VLOOKUP("25",Inputs!$A$29:$K$33,3,FALSE())*(Inputs!$B$25/14)*Inputs!$B$5+VLOOKUP("25",Inputs!$A$29:$K$33,4,FALSE())*(Inputs!$B$25/14)*Inputs!$B$12+VLOOKUP("25",Inputs!$A$29:$K$33,5,FALSE())*(Inputs!$B$25/14)*Inputs!$B$13)+(1-C52)*(VLOOKUP("25",Inputs!$A$29:$K$33,6,FALSE())*(Inputs!$B$25/14)*Inputs!$B$5+VLOOKUP("25",Inputs!$A$29:$K$33,7,FALSE())*(Inputs!$B$25/14)*Inputs!$B$12+VLOOKUP("25",Inputs!$A$29:$K$33,8,FALSE())*(Inputs!$B$25/14)*Inputs!$B$13),C52*((VLOOKUP("25",Inputs!$A$29:$K$33,3,FALSE())*(Inputs!$B$25/14)*Inputs!$B$5+VLOOKUP("25",Inputs!$A$29:$K$33,4,FALSE())*(Inputs!$B$25/14)*Inputs!$B$12+VLOOKUP("25",Inputs!$A$29:$K$33,5,FALSE())*(Inputs!$B$25/14)*Inputs!$B$13)+Inputs!$B$18)+(1-C52)*((INDEX(Inputs!$A$37:$C$37,1,1)*(Inputs!$B$25/14)*Inputs!$B$5+INDEX(Inputs!$A$37:$C$37,1,2)*(Inputs!$B$25/14)*Inputs!$B$12+INDEX(Inputs!$A$37:$C$37,1,3)*(Inputs!$B$25/14)*Inputs!$B$13)))</f>
        <v>325.375278347768</v>
      </c>
      <c r="E52" s="25" t="n">
        <f aca="false">0</f>
        <v>0</v>
      </c>
      <c r="F5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3" customFormat="false" ht="15" hidden="false" customHeight="true" outlineLevel="0" collapsed="false">
      <c r="A53" s="27" t="s">
        <v>125</v>
      </c>
      <c r="D53" s="28" t="n">
        <f aca="false">SUM(D41:D52)</f>
        <v>3565.45361742129</v>
      </c>
      <c r="F53" s="28" t="n">
        <f aca="false">SUM(F41:F52)</f>
        <v>3913.41431155826</v>
      </c>
    </row>
    <row r="55" customFormat="false" ht="15" hidden="false" customHeight="true" outlineLevel="0" collapsed="false">
      <c r="A55" s="27" t="s">
        <v>150</v>
      </c>
    </row>
    <row r="56" customFormat="false" ht="21.75" hidden="false" customHeight="true" outlineLevel="0" collapsed="false">
      <c r="A56" s="43" t="s">
        <v>92</v>
      </c>
      <c r="B56" s="43" t="s">
        <v>145</v>
      </c>
      <c r="C56" s="43" t="s">
        <v>146</v>
      </c>
      <c r="D56" s="43" t="s">
        <v>147</v>
      </c>
      <c r="E56" s="43" t="s">
        <v>148</v>
      </c>
      <c r="F56" s="43" t="s">
        <v>149</v>
      </c>
    </row>
    <row r="57" customFormat="false" ht="15" hidden="false" customHeight="true" outlineLevel="0" collapsed="false">
      <c r="A57" s="23" t="n">
        <v>1</v>
      </c>
      <c r="B57" s="24" t="b">
        <f aca="false">A57&lt;=Inputs!$B$17</f>
        <v>1</v>
      </c>
      <c r="C57" s="25" t="n">
        <f aca="false">VLOOKUP("25",Inputs!$A$29:$K$33,2,FALSE())</f>
        <v>0.6</v>
      </c>
      <c r="D57" s="26" t="n">
        <f aca="false">IF(B57,C57*(VLOOKUP("25",Inputs!$A$29:$K$33,3,FALSE())*(Inputs!$B$25/14)*Inputs!$B$5+VLOOKUP("25",Inputs!$A$29:$K$33,4,FALSE())*(Inputs!$B$25/14)*Inputs!$B$12+VLOOKUP("25",Inputs!$A$29:$K$33,5,FALSE())*(Inputs!$B$25/14)*Inputs!$B$13)+(1-C57)*(VLOOKUP("25",Inputs!$A$29:$K$33,6,FALSE())*(Inputs!$B$25/14)*Inputs!$B$5+VLOOKUP("25",Inputs!$A$29:$K$33,7,FALSE())*(Inputs!$B$25/14)*Inputs!$B$12+VLOOKUP("25",Inputs!$A$29:$K$33,8,FALSE())*(Inputs!$B$25/14)*Inputs!$B$13),C57*((VLOOKUP("25",Inputs!$A$29:$K$33,3,FALSE())*(Inputs!$B$25/14)*Inputs!$B$5+VLOOKUP("25",Inputs!$A$29:$K$33,4,FALSE())*(Inputs!$B$25/14)*Inputs!$B$12+VLOOKUP("25",Inputs!$A$29:$K$33,5,FALSE())*(Inputs!$B$25/14)*Inputs!$B$13)+Inputs!$B$18)+(1-C57)*((VLOOKUP("25",Inputs!$A$29:$K$33,9,FALSE())*(Inputs!$B$25/14)*Inputs!$B$5+VLOOKUP("25",Inputs!$A$29:$K$33,10,FALSE())*(Inputs!$B$25/14)*Inputs!$B$12+VLOOKUP("25",Inputs!$A$29:$K$33,11,FALSE())*(Inputs!$B$25/14)*Inputs!$B$13)))</f>
        <v>189.059008761607</v>
      </c>
      <c r="E57" s="25" t="n">
        <f aca="false">Inputs!$B$21</f>
        <v>0.083</v>
      </c>
      <c r="F57" s="26" t="n">
        <f aca="false">E57*(VLOOKUP("25",Inputs!$A$29:$K$33,3,FALSE())*(Inputs!$B$25/14)*Inputs!$B$5+VLOOKUP("25",Inputs!$A$29:$K$33,4,FALSE())*(Inputs!$B$25/14)*Inputs!$B$12+VLOOKUP("25",Inputs!$A$29:$K$33,5,FALSE())*(Inputs!$B$25/14)*Inputs!$B$13)+(1-E57)*(INDEX(Inputs!$A$37:$C$37,1,1)*(Inputs!$B$25/14)*Inputs!$B$5+INDEX(Inputs!$A$37:$C$37,1,2)*(Inputs!$B$25/14)*Inputs!$B$12+INDEX(Inputs!$A$37:$C$37,1,3)*(Inputs!$B$25/14)*Inputs!$B$13)</f>
        <v>309.859061669866</v>
      </c>
    </row>
    <row r="58" customFormat="false" ht="15" hidden="false" customHeight="true" outlineLevel="0" collapsed="false">
      <c r="A58" s="23" t="n">
        <v>2</v>
      </c>
      <c r="B58" s="24" t="b">
        <f aca="false">A58&lt;=Inputs!$B$17</f>
        <v>1</v>
      </c>
      <c r="C58" s="25" t="n">
        <f aca="false">IF(A58=2,C57*(1-Inputs!$B$22),C57)</f>
        <v>0.414</v>
      </c>
      <c r="D58" s="26" t="n">
        <f aca="false">IF(B58,C58*(VLOOKUP("25",Inputs!$A$29:$K$33,3,FALSE())*(Inputs!$B$25/14)*Inputs!$B$5+VLOOKUP("25",Inputs!$A$29:$K$33,4,FALSE())*(Inputs!$B$25/14)*Inputs!$B$12+VLOOKUP("25",Inputs!$A$29:$K$33,5,FALSE())*(Inputs!$B$25/14)*Inputs!$B$13)+(1-C58)*(VLOOKUP("25",Inputs!$A$29:$K$33,6,FALSE())*(Inputs!$B$25/14)*Inputs!$B$5+VLOOKUP("25",Inputs!$A$29:$K$33,7,FALSE())*(Inputs!$B$25/14)*Inputs!$B$12+VLOOKUP("25",Inputs!$A$29:$K$33,8,FALSE())*(Inputs!$B$25/14)*Inputs!$B$13),C58*((VLOOKUP("25",Inputs!$A$29:$K$33,3,FALSE())*(Inputs!$B$25/14)*Inputs!$B$5+VLOOKUP("25",Inputs!$A$29:$K$33,4,FALSE())*(Inputs!$B$25/14)*Inputs!$B$12+VLOOKUP("25",Inputs!$A$29:$K$33,5,FALSE())*(Inputs!$B$25/14)*Inputs!$B$13)+Inputs!$B$18)+(1-C58)*((VLOOKUP("25",Inputs!$A$29:$K$33,9,FALSE())*(Inputs!$B$25/14)*Inputs!$B$5+VLOOKUP("25",Inputs!$A$29:$K$33,10,FALSE())*(Inputs!$B$25/14)*Inputs!$B$12+VLOOKUP("25",Inputs!$A$29:$K$33,11,FALSE())*(Inputs!$B$25/14)*Inputs!$B$13)))</f>
        <v>224.008551764884</v>
      </c>
      <c r="E58" s="25" t="n">
        <f aca="false">0</f>
        <v>0</v>
      </c>
      <c r="F5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9" customFormat="false" ht="15" hidden="false" customHeight="true" outlineLevel="0" collapsed="false">
      <c r="A59" s="23" t="n">
        <v>3</v>
      </c>
      <c r="B59" s="24" t="b">
        <f aca="false">A59&lt;=Inputs!$B$17</f>
        <v>1</v>
      </c>
      <c r="C59" s="25" t="n">
        <f aca="false">IF(A59=2,C58*(1-Inputs!$B$22),C58)</f>
        <v>0.414</v>
      </c>
      <c r="D59" s="26" t="n">
        <f aca="false">IF(B59,C59*(VLOOKUP("25",Inputs!$A$29:$K$33,3,FALSE())*(Inputs!$B$25/14)*Inputs!$B$5+VLOOKUP("25",Inputs!$A$29:$K$33,4,FALSE())*(Inputs!$B$25/14)*Inputs!$B$12+VLOOKUP("25",Inputs!$A$29:$K$33,5,FALSE())*(Inputs!$B$25/14)*Inputs!$B$13)+(1-C59)*(VLOOKUP("25",Inputs!$A$29:$K$33,6,FALSE())*(Inputs!$B$25/14)*Inputs!$B$5+VLOOKUP("25",Inputs!$A$29:$K$33,7,FALSE())*(Inputs!$B$25/14)*Inputs!$B$12+VLOOKUP("25",Inputs!$A$29:$K$33,8,FALSE())*(Inputs!$B$25/14)*Inputs!$B$13),C59*((VLOOKUP("25",Inputs!$A$29:$K$33,3,FALSE())*(Inputs!$B$25/14)*Inputs!$B$5+VLOOKUP("25",Inputs!$A$29:$K$33,4,FALSE())*(Inputs!$B$25/14)*Inputs!$B$12+VLOOKUP("25",Inputs!$A$29:$K$33,5,FALSE())*(Inputs!$B$25/14)*Inputs!$B$13)+Inputs!$B$18)+(1-C59)*((VLOOKUP("25",Inputs!$A$29:$K$33,9,FALSE())*(Inputs!$B$25/14)*Inputs!$B$5+VLOOKUP("25",Inputs!$A$29:$K$33,10,FALSE())*(Inputs!$B$25/14)*Inputs!$B$12+VLOOKUP("25",Inputs!$A$29:$K$33,11,FALSE())*(Inputs!$B$25/14)*Inputs!$B$13)))</f>
        <v>224.008551764884</v>
      </c>
      <c r="E59" s="25" t="n">
        <f aca="false">0</f>
        <v>0</v>
      </c>
      <c r="F5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0" customFormat="false" ht="15" hidden="false" customHeight="true" outlineLevel="0" collapsed="false">
      <c r="A60" s="23" t="n">
        <v>4</v>
      </c>
      <c r="B60" s="24" t="b">
        <f aca="false">A60&lt;=Inputs!$B$17</f>
        <v>0</v>
      </c>
      <c r="C60" s="25" t="n">
        <f aca="false">IF(A60=2,C59*(1-Inputs!$B$22),C59)</f>
        <v>0.414</v>
      </c>
      <c r="D60" s="26" t="n">
        <f aca="false">IF(B60,C60*(VLOOKUP("25",Inputs!$A$29:$K$33,3,FALSE())*(Inputs!$B$25/14)*Inputs!$B$5+VLOOKUP("25",Inputs!$A$29:$K$33,4,FALSE())*(Inputs!$B$25/14)*Inputs!$B$12+VLOOKUP("25",Inputs!$A$29:$K$33,5,FALSE())*(Inputs!$B$25/14)*Inputs!$B$13)+(1-C60)*(VLOOKUP("25",Inputs!$A$29:$K$33,6,FALSE())*(Inputs!$B$25/14)*Inputs!$B$5+VLOOKUP("25",Inputs!$A$29:$K$33,7,FALSE())*(Inputs!$B$25/14)*Inputs!$B$12+VLOOKUP("25",Inputs!$A$29:$K$33,8,FALSE())*(Inputs!$B$25/14)*Inputs!$B$13),C60*((VLOOKUP("25",Inputs!$A$29:$K$33,3,FALSE())*(Inputs!$B$25/14)*Inputs!$B$5+VLOOKUP("25",Inputs!$A$29:$K$33,4,FALSE())*(Inputs!$B$25/14)*Inputs!$B$12+VLOOKUP("25",Inputs!$A$29:$K$33,5,FALSE())*(Inputs!$B$25/14)*Inputs!$B$13)+Inputs!$B$18)+(1-C60)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0" s="25" t="n">
        <f aca="false">0</f>
        <v>0</v>
      </c>
      <c r="F6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1" customFormat="false" ht="15" hidden="false" customHeight="true" outlineLevel="0" collapsed="false">
      <c r="A61" s="23" t="n">
        <v>5</v>
      </c>
      <c r="B61" s="24" t="b">
        <f aca="false">A61&lt;=Inputs!$B$17</f>
        <v>0</v>
      </c>
      <c r="C61" s="25" t="n">
        <f aca="false">IF(A61=2,C60*(1-Inputs!$B$22),C60)</f>
        <v>0.414</v>
      </c>
      <c r="D61" s="26" t="n">
        <f aca="false">IF(B61,C61*(VLOOKUP("25",Inputs!$A$29:$K$33,3,FALSE())*(Inputs!$B$25/14)*Inputs!$B$5+VLOOKUP("25",Inputs!$A$29:$K$33,4,FALSE())*(Inputs!$B$25/14)*Inputs!$B$12+VLOOKUP("25",Inputs!$A$29:$K$33,5,FALSE())*(Inputs!$B$25/14)*Inputs!$B$13)+(1-C61)*(VLOOKUP("25",Inputs!$A$29:$K$33,6,FALSE())*(Inputs!$B$25/14)*Inputs!$B$5+VLOOKUP("25",Inputs!$A$29:$K$33,7,FALSE())*(Inputs!$B$25/14)*Inputs!$B$12+VLOOKUP("25",Inputs!$A$29:$K$33,8,FALSE())*(Inputs!$B$25/14)*Inputs!$B$13),C61*((VLOOKUP("25",Inputs!$A$29:$K$33,3,FALSE())*(Inputs!$B$25/14)*Inputs!$B$5+VLOOKUP("25",Inputs!$A$29:$K$33,4,FALSE())*(Inputs!$B$25/14)*Inputs!$B$12+VLOOKUP("25",Inputs!$A$29:$K$33,5,FALSE())*(Inputs!$B$25/14)*Inputs!$B$13)+Inputs!$B$18)+(1-C61)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1" s="25" t="n">
        <f aca="false">0</f>
        <v>0</v>
      </c>
      <c r="F6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2" customFormat="false" ht="15" hidden="false" customHeight="true" outlineLevel="0" collapsed="false">
      <c r="A62" s="23" t="n">
        <v>6</v>
      </c>
      <c r="B62" s="24" t="b">
        <f aca="false">A62&lt;=Inputs!$B$17</f>
        <v>0</v>
      </c>
      <c r="C62" s="25" t="n">
        <f aca="false">IF(A62=2,C61*(1-Inputs!$B$22),C61)</f>
        <v>0.414</v>
      </c>
      <c r="D62" s="26" t="n">
        <f aca="false">IF(B62,C62*(VLOOKUP("25",Inputs!$A$29:$K$33,3,FALSE())*(Inputs!$B$25/14)*Inputs!$B$5+VLOOKUP("25",Inputs!$A$29:$K$33,4,FALSE())*(Inputs!$B$25/14)*Inputs!$B$12+VLOOKUP("25",Inputs!$A$29:$K$33,5,FALSE())*(Inputs!$B$25/14)*Inputs!$B$13)+(1-C62)*(VLOOKUP("25",Inputs!$A$29:$K$33,6,FALSE())*(Inputs!$B$25/14)*Inputs!$B$5+VLOOKUP("25",Inputs!$A$29:$K$33,7,FALSE())*(Inputs!$B$25/14)*Inputs!$B$12+VLOOKUP("25",Inputs!$A$29:$K$33,8,FALSE())*(Inputs!$B$25/14)*Inputs!$B$13),C62*((VLOOKUP("25",Inputs!$A$29:$K$33,3,FALSE())*(Inputs!$B$25/14)*Inputs!$B$5+VLOOKUP("25",Inputs!$A$29:$K$33,4,FALSE())*(Inputs!$B$25/14)*Inputs!$B$12+VLOOKUP("25",Inputs!$A$29:$K$33,5,FALSE())*(Inputs!$B$25/14)*Inputs!$B$13)+Inputs!$B$18)+(1-C62)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2" s="25" t="n">
        <f aca="false">0</f>
        <v>0</v>
      </c>
      <c r="F6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3" customFormat="false" ht="15" hidden="false" customHeight="true" outlineLevel="0" collapsed="false">
      <c r="A63" s="23" t="n">
        <v>7</v>
      </c>
      <c r="B63" s="24" t="b">
        <f aca="false">A63&lt;=Inputs!$B$17</f>
        <v>0</v>
      </c>
      <c r="C63" s="25" t="n">
        <f aca="false">IF(A63=2,C62*(1-Inputs!$B$22),C62)</f>
        <v>0.414</v>
      </c>
      <c r="D63" s="26" t="n">
        <f aca="false">IF(B63,C63*(VLOOKUP("25",Inputs!$A$29:$K$33,3,FALSE())*(Inputs!$B$25/14)*Inputs!$B$5+VLOOKUP("25",Inputs!$A$29:$K$33,4,FALSE())*(Inputs!$B$25/14)*Inputs!$B$12+VLOOKUP("25",Inputs!$A$29:$K$33,5,FALSE())*(Inputs!$B$25/14)*Inputs!$B$13)+(1-C63)*(VLOOKUP("25",Inputs!$A$29:$K$33,6,FALSE())*(Inputs!$B$25/14)*Inputs!$B$5+VLOOKUP("25",Inputs!$A$29:$K$33,7,FALSE())*(Inputs!$B$25/14)*Inputs!$B$12+VLOOKUP("25",Inputs!$A$29:$K$33,8,FALSE())*(Inputs!$B$25/14)*Inputs!$B$13),C63*((VLOOKUP("25",Inputs!$A$29:$K$33,3,FALSE())*(Inputs!$B$25/14)*Inputs!$B$5+VLOOKUP("25",Inputs!$A$29:$K$33,4,FALSE())*(Inputs!$B$25/14)*Inputs!$B$12+VLOOKUP("25",Inputs!$A$29:$K$33,5,FALSE())*(Inputs!$B$25/14)*Inputs!$B$13)+Inputs!$B$18)+(1-C63)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3" s="25" t="n">
        <f aca="false">0</f>
        <v>0</v>
      </c>
      <c r="F6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4" customFormat="false" ht="15" hidden="false" customHeight="true" outlineLevel="0" collapsed="false">
      <c r="A64" s="23" t="n">
        <v>8</v>
      </c>
      <c r="B64" s="24" t="b">
        <f aca="false">A64&lt;=Inputs!$B$17</f>
        <v>0</v>
      </c>
      <c r="C64" s="25" t="n">
        <f aca="false">IF(A64=2,C63*(1-Inputs!$B$22),C63)</f>
        <v>0.414</v>
      </c>
      <c r="D64" s="26" t="n">
        <f aca="false">IF(B64,C64*(VLOOKUP("25",Inputs!$A$29:$K$33,3,FALSE())*(Inputs!$B$25/14)*Inputs!$B$5+VLOOKUP("25",Inputs!$A$29:$K$33,4,FALSE())*(Inputs!$B$25/14)*Inputs!$B$12+VLOOKUP("25",Inputs!$A$29:$K$33,5,FALSE())*(Inputs!$B$25/14)*Inputs!$B$13)+(1-C64)*(VLOOKUP("25",Inputs!$A$29:$K$33,6,FALSE())*(Inputs!$B$25/14)*Inputs!$B$5+VLOOKUP("25",Inputs!$A$29:$K$33,7,FALSE())*(Inputs!$B$25/14)*Inputs!$B$12+VLOOKUP("25",Inputs!$A$29:$K$33,8,FALSE())*(Inputs!$B$25/14)*Inputs!$B$13),C64*((VLOOKUP("25",Inputs!$A$29:$K$33,3,FALSE())*(Inputs!$B$25/14)*Inputs!$B$5+VLOOKUP("25",Inputs!$A$29:$K$33,4,FALSE())*(Inputs!$B$25/14)*Inputs!$B$12+VLOOKUP("25",Inputs!$A$29:$K$33,5,FALSE())*(Inputs!$B$25/14)*Inputs!$B$13)+Inputs!$B$18)+(1-C64)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4" s="25" t="n">
        <f aca="false">0</f>
        <v>0</v>
      </c>
      <c r="F6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5" customFormat="false" ht="15" hidden="false" customHeight="true" outlineLevel="0" collapsed="false">
      <c r="A65" s="23" t="n">
        <v>9</v>
      </c>
      <c r="B65" s="24" t="b">
        <f aca="false">A65&lt;=Inputs!$B$17</f>
        <v>0</v>
      </c>
      <c r="C65" s="25" t="n">
        <f aca="false">IF(A65=2,C64*(1-Inputs!$B$22),C64)</f>
        <v>0.414</v>
      </c>
      <c r="D65" s="26" t="n">
        <f aca="false">IF(B65,C65*(VLOOKUP("25",Inputs!$A$29:$K$33,3,FALSE())*(Inputs!$B$25/14)*Inputs!$B$5+VLOOKUP("25",Inputs!$A$29:$K$33,4,FALSE())*(Inputs!$B$25/14)*Inputs!$B$12+VLOOKUP("25",Inputs!$A$29:$K$33,5,FALSE())*(Inputs!$B$25/14)*Inputs!$B$13)+(1-C65)*(VLOOKUP("25",Inputs!$A$29:$K$33,6,FALSE())*(Inputs!$B$25/14)*Inputs!$B$5+VLOOKUP("25",Inputs!$A$29:$K$33,7,FALSE())*(Inputs!$B$25/14)*Inputs!$B$12+VLOOKUP("25",Inputs!$A$29:$K$33,8,FALSE())*(Inputs!$B$25/14)*Inputs!$B$13),C65*((VLOOKUP("25",Inputs!$A$29:$K$33,3,FALSE())*(Inputs!$B$25/14)*Inputs!$B$5+VLOOKUP("25",Inputs!$A$29:$K$33,4,FALSE())*(Inputs!$B$25/14)*Inputs!$B$12+VLOOKUP("25",Inputs!$A$29:$K$33,5,FALSE())*(Inputs!$B$25/14)*Inputs!$B$13)+Inputs!$B$18)+(1-C65)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5" s="25" t="n">
        <f aca="false">0</f>
        <v>0</v>
      </c>
      <c r="F6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6" customFormat="false" ht="15" hidden="false" customHeight="true" outlineLevel="0" collapsed="false">
      <c r="A66" s="23" t="n">
        <v>10</v>
      </c>
      <c r="B66" s="24" t="b">
        <f aca="false">A66&lt;=Inputs!$B$17</f>
        <v>0</v>
      </c>
      <c r="C66" s="25" t="n">
        <f aca="false">IF(A66=2,C65*(1-Inputs!$B$22),C65)</f>
        <v>0.414</v>
      </c>
      <c r="D66" s="26" t="n">
        <f aca="false">IF(B66,C66*(VLOOKUP("25",Inputs!$A$29:$K$33,3,FALSE())*(Inputs!$B$25/14)*Inputs!$B$5+VLOOKUP("25",Inputs!$A$29:$K$33,4,FALSE())*(Inputs!$B$25/14)*Inputs!$B$12+VLOOKUP("25",Inputs!$A$29:$K$33,5,FALSE())*(Inputs!$B$25/14)*Inputs!$B$13)+(1-C66)*(VLOOKUP("25",Inputs!$A$29:$K$33,6,FALSE())*(Inputs!$B$25/14)*Inputs!$B$5+VLOOKUP("25",Inputs!$A$29:$K$33,7,FALSE())*(Inputs!$B$25/14)*Inputs!$B$12+VLOOKUP("25",Inputs!$A$29:$K$33,8,FALSE())*(Inputs!$B$25/14)*Inputs!$B$13),C66*((VLOOKUP("25",Inputs!$A$29:$K$33,3,FALSE())*(Inputs!$B$25/14)*Inputs!$B$5+VLOOKUP("25",Inputs!$A$29:$K$33,4,FALSE())*(Inputs!$B$25/14)*Inputs!$B$12+VLOOKUP("25",Inputs!$A$29:$K$33,5,FALSE())*(Inputs!$B$25/14)*Inputs!$B$13)+Inputs!$B$18)+(1-C66)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6" s="25" t="n">
        <f aca="false">0</f>
        <v>0</v>
      </c>
      <c r="F6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7" customFormat="false" ht="15" hidden="false" customHeight="true" outlineLevel="0" collapsed="false">
      <c r="A67" s="23" t="n">
        <v>11</v>
      </c>
      <c r="B67" s="24" t="b">
        <f aca="false">A67&lt;=Inputs!$B$17</f>
        <v>0</v>
      </c>
      <c r="C67" s="25" t="n">
        <f aca="false">IF(A67=2,C66*(1-Inputs!$B$22),C66)</f>
        <v>0.414</v>
      </c>
      <c r="D67" s="26" t="n">
        <f aca="false">IF(B67,C67*(VLOOKUP("25",Inputs!$A$29:$K$33,3,FALSE())*(Inputs!$B$25/14)*Inputs!$B$5+VLOOKUP("25",Inputs!$A$29:$K$33,4,FALSE())*(Inputs!$B$25/14)*Inputs!$B$12+VLOOKUP("25",Inputs!$A$29:$K$33,5,FALSE())*(Inputs!$B$25/14)*Inputs!$B$13)+(1-C67)*(VLOOKUP("25",Inputs!$A$29:$K$33,6,FALSE())*(Inputs!$B$25/14)*Inputs!$B$5+VLOOKUP("25",Inputs!$A$29:$K$33,7,FALSE())*(Inputs!$B$25/14)*Inputs!$B$12+VLOOKUP("25",Inputs!$A$29:$K$33,8,FALSE())*(Inputs!$B$25/14)*Inputs!$B$13),C67*((VLOOKUP("25",Inputs!$A$29:$K$33,3,FALSE())*(Inputs!$B$25/14)*Inputs!$B$5+VLOOKUP("25",Inputs!$A$29:$K$33,4,FALSE())*(Inputs!$B$25/14)*Inputs!$B$12+VLOOKUP("25",Inputs!$A$29:$K$33,5,FALSE())*(Inputs!$B$25/14)*Inputs!$B$13)+Inputs!$B$18)+(1-C67)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7" s="25" t="n">
        <f aca="false">0</f>
        <v>0</v>
      </c>
      <c r="F6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8" customFormat="false" ht="15" hidden="false" customHeight="true" outlineLevel="0" collapsed="false">
      <c r="A68" s="23" t="n">
        <v>12</v>
      </c>
      <c r="B68" s="24" t="b">
        <f aca="false">A68&lt;=Inputs!$B$17</f>
        <v>0</v>
      </c>
      <c r="C68" s="25" t="n">
        <f aca="false">IF(A68=2,C67*(1-Inputs!$B$22),C67)</f>
        <v>0.414</v>
      </c>
      <c r="D68" s="26" t="n">
        <f aca="false">IF(B68,C68*(VLOOKUP("25",Inputs!$A$29:$K$33,3,FALSE())*(Inputs!$B$25/14)*Inputs!$B$5+VLOOKUP("25",Inputs!$A$29:$K$33,4,FALSE())*(Inputs!$B$25/14)*Inputs!$B$12+VLOOKUP("25",Inputs!$A$29:$K$33,5,FALSE())*(Inputs!$B$25/14)*Inputs!$B$13)+(1-C68)*(VLOOKUP("25",Inputs!$A$29:$K$33,6,FALSE())*(Inputs!$B$25/14)*Inputs!$B$5+VLOOKUP("25",Inputs!$A$29:$K$33,7,FALSE())*(Inputs!$B$25/14)*Inputs!$B$12+VLOOKUP("25",Inputs!$A$29:$K$33,8,FALSE())*(Inputs!$B$25/14)*Inputs!$B$13),C68*((VLOOKUP("25",Inputs!$A$29:$K$33,3,FALSE())*(Inputs!$B$25/14)*Inputs!$B$5+VLOOKUP("25",Inputs!$A$29:$K$33,4,FALSE())*(Inputs!$B$25/14)*Inputs!$B$12+VLOOKUP("25",Inputs!$A$29:$K$33,5,FALSE())*(Inputs!$B$25/14)*Inputs!$B$13)+Inputs!$B$18)+(1-C68)*((VLOOKUP("25",Inputs!$A$29:$K$33,9,FALSE())*(Inputs!$B$25/14)*Inputs!$B$5+VLOOKUP("25",Inputs!$A$29:$K$33,10,FALSE())*(Inputs!$B$25/14)*Inputs!$B$12+VLOOKUP("25",Inputs!$A$29:$K$33,11,FALSE())*(Inputs!$B$25/14)*Inputs!$B$13)))</f>
        <v>272.060323948098</v>
      </c>
      <c r="E68" s="25" t="n">
        <f aca="false">0</f>
        <v>0</v>
      </c>
      <c r="F6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69" customFormat="false" ht="15" hidden="false" customHeight="true" outlineLevel="0" collapsed="false">
      <c r="A69" s="27" t="s">
        <v>125</v>
      </c>
      <c r="D69" s="28" t="n">
        <f aca="false">SUM(D57:D68)</f>
        <v>3085.61902782426</v>
      </c>
      <c r="F69" s="28" t="n">
        <f aca="false">SUM(F57:F68)</f>
        <v>3913.41431155826</v>
      </c>
    </row>
    <row r="71" customFormat="false" ht="15" hidden="false" customHeight="true" outlineLevel="0" collapsed="false">
      <c r="A71" s="27" t="s">
        <v>151</v>
      </c>
    </row>
    <row r="72" customFormat="false" ht="21.75" hidden="false" customHeight="true" outlineLevel="0" collapsed="false">
      <c r="A72" s="43" t="s">
        <v>92</v>
      </c>
      <c r="B72" s="43" t="s">
        <v>145</v>
      </c>
      <c r="C72" s="43" t="s">
        <v>146</v>
      </c>
      <c r="D72" s="43" t="s">
        <v>147</v>
      </c>
      <c r="E72" s="43" t="s">
        <v>148</v>
      </c>
      <c r="F72" s="43" t="s">
        <v>149</v>
      </c>
    </row>
    <row r="73" customFormat="false" ht="15" hidden="false" customHeight="true" outlineLevel="0" collapsed="false">
      <c r="A73" s="23" t="n">
        <v>1</v>
      </c>
      <c r="B73" s="24" t="b">
        <f aca="false">A73&lt;=Inputs!$B$17</f>
        <v>1</v>
      </c>
      <c r="C73" s="25" t="n">
        <f aca="false">VLOOKUP("25",Inputs!$A$29:$K$33,2,FALSE())</f>
        <v>0.6</v>
      </c>
      <c r="D73" s="26" t="n">
        <f aca="false">IF(B73,C73*(VLOOKUP("25",Inputs!$A$29:$K$33,3,FALSE())*(Inputs!$B$25/14)*Inputs!$B$5+VLOOKUP("25",Inputs!$A$29:$K$33,4,FALSE())*(Inputs!$B$25/14)*Inputs!$B$12+VLOOKUP("25",Inputs!$A$29:$K$33,5,FALSE())*(Inputs!$B$25/14)*Inputs!$B$13)+(1-C73)*(VLOOKUP("25",Inputs!$A$29:$K$33,6,FALSE())*(Inputs!$B$25/14)*Inputs!$B$5+VLOOKUP("25",Inputs!$A$29:$K$33,7,FALSE())*(Inputs!$B$25/14)*Inputs!$B$12+VLOOKUP("25",Inputs!$A$29:$K$33,8,FALSE())*(Inputs!$B$25/14)*Inputs!$B$13),C73*((VLOOKUP("25",Inputs!$A$29:$K$33,3,FALSE())*(Inputs!$B$25/14)*Inputs!$B$5+VLOOKUP("25",Inputs!$A$29:$K$33,4,FALSE())*(Inputs!$B$25/14)*Inputs!$B$12+VLOOKUP("25",Inputs!$A$29:$K$33,5,FALSE())*(Inputs!$B$25/14)*Inputs!$B$13)+Inputs!$B$18)+(1-C73)*((INDEX(Inputs!$A$37:$C$37,1,1)*(Inputs!$B$25/14)*Inputs!$B$5+INDEX(Inputs!$A$37:$C$37,1,2)*(Inputs!$B$25/14)*Inputs!$B$12+INDEX(Inputs!$A$37:$C$37,1,3)*(Inputs!$B$25/14)*Inputs!$B$13)))</f>
        <v>189.059008761607</v>
      </c>
      <c r="E73" s="25" t="n">
        <f aca="false">Inputs!$B$21</f>
        <v>0.083</v>
      </c>
      <c r="F73" s="26" t="n">
        <f aca="false">E73*(VLOOKUP("25",Inputs!$A$29:$K$33,3,FALSE())*(Inputs!$B$25/14)*Inputs!$B$5+VLOOKUP("25",Inputs!$A$29:$K$33,4,FALSE())*(Inputs!$B$25/14)*Inputs!$B$12+VLOOKUP("25",Inputs!$A$29:$K$33,5,FALSE())*(Inputs!$B$25/14)*Inputs!$B$13)+(1-E73)*(INDEX(Inputs!$A$37:$C$37,1,1)*(Inputs!$B$25/14)*Inputs!$B$5+INDEX(Inputs!$A$37:$C$37,1,2)*(Inputs!$B$25/14)*Inputs!$B$12+INDEX(Inputs!$A$37:$C$37,1,3)*(Inputs!$B$25/14)*Inputs!$B$13)</f>
        <v>309.859061669866</v>
      </c>
    </row>
    <row r="74" customFormat="false" ht="15" hidden="false" customHeight="true" outlineLevel="0" collapsed="false">
      <c r="A74" s="23" t="n">
        <v>2</v>
      </c>
      <c r="B74" s="24" t="b">
        <f aca="false">A74&lt;=Inputs!$B$17</f>
        <v>1</v>
      </c>
      <c r="C74" s="25" t="n">
        <f aca="false">C73*(1-Inputs!$B$22)</f>
        <v>0.414</v>
      </c>
      <c r="D74" s="26" t="n">
        <f aca="false">IF(B74,C74*(VLOOKUP("25",Inputs!$A$29:$K$33,3,FALSE())*(Inputs!$B$25/14)*Inputs!$B$5+VLOOKUP("25",Inputs!$A$29:$K$33,4,FALSE())*(Inputs!$B$25/14)*Inputs!$B$12+VLOOKUP("25",Inputs!$A$29:$K$33,5,FALSE())*(Inputs!$B$25/14)*Inputs!$B$13)+(1-C74)*(VLOOKUP("25",Inputs!$A$29:$K$33,6,FALSE())*(Inputs!$B$25/14)*Inputs!$B$5+VLOOKUP("25",Inputs!$A$29:$K$33,7,FALSE())*(Inputs!$B$25/14)*Inputs!$B$12+VLOOKUP("25",Inputs!$A$29:$K$33,8,FALSE())*(Inputs!$B$25/14)*Inputs!$B$13),C74*((VLOOKUP("25",Inputs!$A$29:$K$33,3,FALSE())*(Inputs!$B$25/14)*Inputs!$B$5+VLOOKUP("25",Inputs!$A$29:$K$33,4,FALSE())*(Inputs!$B$25/14)*Inputs!$B$12+VLOOKUP("25",Inputs!$A$29:$K$33,5,FALSE())*(Inputs!$B$25/14)*Inputs!$B$13)+Inputs!$B$18)+(1-C74)*((INDEX(Inputs!$A$37:$C$37,1,1)*(Inputs!$B$25/14)*Inputs!$B$5+INDEX(Inputs!$A$37:$C$37,1,2)*(Inputs!$B$25/14)*Inputs!$B$12+INDEX(Inputs!$A$37:$C$37,1,3)*(Inputs!$B$25/14)*Inputs!$B$13)))</f>
        <v>224.008551764884</v>
      </c>
      <c r="E74" s="25" t="n">
        <f aca="false">0</f>
        <v>0</v>
      </c>
      <c r="F7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75" customFormat="false" ht="15" hidden="false" customHeight="true" outlineLevel="0" collapsed="false">
      <c r="A75" s="23" t="n">
        <v>3</v>
      </c>
      <c r="B75" s="24" t="b">
        <f aca="false">A75&lt;=Inputs!$B$17</f>
        <v>1</v>
      </c>
      <c r="C75" s="25" t="n">
        <f aca="false">C74*(1-Inputs!$B$22)</f>
        <v>0.28566</v>
      </c>
      <c r="D75" s="26" t="n">
        <f aca="false">IF(B75,C75*(VLOOKUP("25",Inputs!$A$29:$K$33,3,FALSE())*(Inputs!$B$25/14)*Inputs!$B$5+VLOOKUP("25",Inputs!$A$29:$K$33,4,FALSE())*(Inputs!$B$25/14)*Inputs!$B$12+VLOOKUP("25",Inputs!$A$29:$K$33,5,FALSE())*(Inputs!$B$25/14)*Inputs!$B$13)+(1-C75)*(VLOOKUP("25",Inputs!$A$29:$K$33,6,FALSE())*(Inputs!$B$25/14)*Inputs!$B$5+VLOOKUP("25",Inputs!$A$29:$K$33,7,FALSE())*(Inputs!$B$25/14)*Inputs!$B$12+VLOOKUP("25",Inputs!$A$29:$K$33,8,FALSE())*(Inputs!$B$25/14)*Inputs!$B$13),C75*((VLOOKUP("25",Inputs!$A$29:$K$33,3,FALSE())*(Inputs!$B$25/14)*Inputs!$B$5+VLOOKUP("25",Inputs!$A$29:$K$33,4,FALSE())*(Inputs!$B$25/14)*Inputs!$B$12+VLOOKUP("25",Inputs!$A$29:$K$33,5,FALSE())*(Inputs!$B$25/14)*Inputs!$B$13)+Inputs!$B$18)+(1-C75)*((INDEX(Inputs!$A$37:$C$37,1,1)*(Inputs!$B$25/14)*Inputs!$B$5+INDEX(Inputs!$A$37:$C$37,1,2)*(Inputs!$B$25/14)*Inputs!$B$12+INDEX(Inputs!$A$37:$C$37,1,3)*(Inputs!$B$25/14)*Inputs!$B$13)))</f>
        <v>248.123736437145</v>
      </c>
      <c r="E75" s="25" t="n">
        <f aca="false">0</f>
        <v>0</v>
      </c>
      <c r="F7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76" customFormat="false" ht="15" hidden="false" customHeight="true" outlineLevel="0" collapsed="false">
      <c r="A76" s="23" t="n">
        <v>4</v>
      </c>
      <c r="B76" s="24" t="b">
        <f aca="false">A76&lt;=Inputs!$B$17</f>
        <v>0</v>
      </c>
      <c r="C76" s="25" t="n">
        <f aca="false">C75*(1-Inputs!$B$22)</f>
        <v>0.1971054</v>
      </c>
      <c r="D76" s="26" t="n">
        <f aca="false">IF(B76,C76*(VLOOKUP("25",Inputs!$A$29:$K$33,3,FALSE())*(Inputs!$B$25/14)*Inputs!$B$5+VLOOKUP("25",Inputs!$A$29:$K$33,4,FALSE())*(Inputs!$B$25/14)*Inputs!$B$12+VLOOKUP("25",Inputs!$A$29:$K$33,5,FALSE())*(Inputs!$B$25/14)*Inputs!$B$13)+(1-C76)*(VLOOKUP("25",Inputs!$A$29:$K$33,6,FALSE())*(Inputs!$B$25/14)*Inputs!$B$5+VLOOKUP("25",Inputs!$A$29:$K$33,7,FALSE())*(Inputs!$B$25/14)*Inputs!$B$12+VLOOKUP("25",Inputs!$A$29:$K$33,8,FALSE())*(Inputs!$B$25/14)*Inputs!$B$13),C76*((VLOOKUP("25",Inputs!$A$29:$K$33,3,FALSE())*(Inputs!$B$25/14)*Inputs!$B$5+VLOOKUP("25",Inputs!$A$29:$K$33,4,FALSE())*(Inputs!$B$25/14)*Inputs!$B$12+VLOOKUP("25",Inputs!$A$29:$K$33,5,FALSE())*(Inputs!$B$25/14)*Inputs!$B$13)+Inputs!$B$18)+(1-C76)*((INDEX(Inputs!$A$37:$C$37,1,1)*(Inputs!$B$25/14)*Inputs!$B$5+INDEX(Inputs!$A$37:$C$37,1,2)*(Inputs!$B$25/14)*Inputs!$B$12+INDEX(Inputs!$A$37:$C$37,1,3)*(Inputs!$B$25/14)*Inputs!$B$13)))</f>
        <v>326.538678695602</v>
      </c>
      <c r="E76" s="25" t="n">
        <f aca="false">0</f>
        <v>0</v>
      </c>
      <c r="F7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77" customFormat="false" ht="15" hidden="false" customHeight="true" outlineLevel="0" collapsed="false">
      <c r="A77" s="23" t="n">
        <v>5</v>
      </c>
      <c r="B77" s="24" t="b">
        <f aca="false">A77&lt;=Inputs!$B$17</f>
        <v>0</v>
      </c>
      <c r="C77" s="25" t="n">
        <f aca="false">C76*(1-Inputs!$B$22)</f>
        <v>0.136002726</v>
      </c>
      <c r="D77" s="26" t="n">
        <f aca="false">IF(B77,C77*(VLOOKUP("25",Inputs!$A$29:$K$33,3,FALSE())*(Inputs!$B$25/14)*Inputs!$B$5+VLOOKUP("25",Inputs!$A$29:$K$33,4,FALSE())*(Inputs!$B$25/14)*Inputs!$B$12+VLOOKUP("25",Inputs!$A$29:$K$33,5,FALSE())*(Inputs!$B$25/14)*Inputs!$B$13)+(1-C77)*(VLOOKUP("25",Inputs!$A$29:$K$33,6,FALSE())*(Inputs!$B$25/14)*Inputs!$B$5+VLOOKUP("25",Inputs!$A$29:$K$33,7,FALSE())*(Inputs!$B$25/14)*Inputs!$B$12+VLOOKUP("25",Inputs!$A$29:$K$33,8,FALSE())*(Inputs!$B$25/14)*Inputs!$B$13),C77*((VLOOKUP("25",Inputs!$A$29:$K$33,3,FALSE())*(Inputs!$B$25/14)*Inputs!$B$5+VLOOKUP("25",Inputs!$A$29:$K$33,4,FALSE())*(Inputs!$B$25/14)*Inputs!$B$12+VLOOKUP("25",Inputs!$A$29:$K$33,5,FALSE())*(Inputs!$B$25/14)*Inputs!$B$13)+Inputs!$B$18)+(1-C77)*((INDEX(Inputs!$A$37:$C$37,1,1)*(Inputs!$B$25/14)*Inputs!$B$5+INDEX(Inputs!$A$37:$C$37,1,2)*(Inputs!$B$25/14)*Inputs!$B$12+INDEX(Inputs!$A$37:$C$37,1,3)*(Inputs!$B$25/14)*Inputs!$B$13)))</f>
        <v>326.866427160457</v>
      </c>
      <c r="E77" s="25" t="n">
        <f aca="false">0</f>
        <v>0</v>
      </c>
      <c r="F7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78" customFormat="false" ht="15" hidden="false" customHeight="true" outlineLevel="0" collapsed="false">
      <c r="A78" s="23" t="n">
        <v>6</v>
      </c>
      <c r="B78" s="24" t="b">
        <f aca="false">A78&lt;=Inputs!$B$17</f>
        <v>0</v>
      </c>
      <c r="C78" s="25" t="n">
        <f aca="false">C77*(1-Inputs!$B$22)</f>
        <v>0.09384188094</v>
      </c>
      <c r="D78" s="26" t="n">
        <f aca="false">IF(B78,C78*(VLOOKUP("25",Inputs!$A$29:$K$33,3,FALSE())*(Inputs!$B$25/14)*Inputs!$B$5+VLOOKUP("25",Inputs!$A$29:$K$33,4,FALSE())*(Inputs!$B$25/14)*Inputs!$B$12+VLOOKUP("25",Inputs!$A$29:$K$33,5,FALSE())*(Inputs!$B$25/14)*Inputs!$B$13)+(1-C78)*(VLOOKUP("25",Inputs!$A$29:$K$33,6,FALSE())*(Inputs!$B$25/14)*Inputs!$B$5+VLOOKUP("25",Inputs!$A$29:$K$33,7,FALSE())*(Inputs!$B$25/14)*Inputs!$B$12+VLOOKUP("25",Inputs!$A$29:$K$33,8,FALSE())*(Inputs!$B$25/14)*Inputs!$B$13),C78*((VLOOKUP("25",Inputs!$A$29:$K$33,3,FALSE())*(Inputs!$B$25/14)*Inputs!$B$5+VLOOKUP("25",Inputs!$A$29:$K$33,4,FALSE())*(Inputs!$B$25/14)*Inputs!$B$12+VLOOKUP("25",Inputs!$A$29:$K$33,5,FALSE())*(Inputs!$B$25/14)*Inputs!$B$13)+Inputs!$B$18)+(1-C78)*((INDEX(Inputs!$A$37:$C$37,1,1)*(Inputs!$B$25/14)*Inputs!$B$5+INDEX(Inputs!$A$37:$C$37,1,2)*(Inputs!$B$25/14)*Inputs!$B$12+INDEX(Inputs!$A$37:$C$37,1,3)*(Inputs!$B$25/14)*Inputs!$B$13)))</f>
        <v>327.092573601206</v>
      </c>
      <c r="E78" s="25" t="n">
        <f aca="false">0</f>
        <v>0</v>
      </c>
      <c r="F7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79" customFormat="false" ht="15" hidden="false" customHeight="true" outlineLevel="0" collapsed="false">
      <c r="A79" s="23" t="n">
        <v>7</v>
      </c>
      <c r="B79" s="24" t="b">
        <f aca="false">A79&lt;=Inputs!$B$17</f>
        <v>0</v>
      </c>
      <c r="C79" s="25" t="n">
        <f aca="false">C78*(1-Inputs!$B$22)</f>
        <v>0.0647508978486</v>
      </c>
      <c r="D79" s="26" t="n">
        <f aca="false">IF(B79,C79*(VLOOKUP("25",Inputs!$A$29:$K$33,3,FALSE())*(Inputs!$B$25/14)*Inputs!$B$5+VLOOKUP("25",Inputs!$A$29:$K$33,4,FALSE())*(Inputs!$B$25/14)*Inputs!$B$12+VLOOKUP("25",Inputs!$A$29:$K$33,5,FALSE())*(Inputs!$B$25/14)*Inputs!$B$13)+(1-C79)*(VLOOKUP("25",Inputs!$A$29:$K$33,6,FALSE())*(Inputs!$B$25/14)*Inputs!$B$5+VLOOKUP("25",Inputs!$A$29:$K$33,7,FALSE())*(Inputs!$B$25/14)*Inputs!$B$12+VLOOKUP("25",Inputs!$A$29:$K$33,8,FALSE())*(Inputs!$B$25/14)*Inputs!$B$13),C79*((VLOOKUP("25",Inputs!$A$29:$K$33,3,FALSE())*(Inputs!$B$25/14)*Inputs!$B$5+VLOOKUP("25",Inputs!$A$29:$K$33,4,FALSE())*(Inputs!$B$25/14)*Inputs!$B$12+VLOOKUP("25",Inputs!$A$29:$K$33,5,FALSE())*(Inputs!$B$25/14)*Inputs!$B$13)+Inputs!$B$18)+(1-C79)*((INDEX(Inputs!$A$37:$C$37,1,1)*(Inputs!$B$25/14)*Inputs!$B$5+INDEX(Inputs!$A$37:$C$37,1,2)*(Inputs!$B$25/14)*Inputs!$B$12+INDEX(Inputs!$A$37:$C$37,1,3)*(Inputs!$B$25/14)*Inputs!$B$13)))</f>
        <v>327.248614645323</v>
      </c>
      <c r="E79" s="25" t="n">
        <f aca="false">0</f>
        <v>0</v>
      </c>
      <c r="F7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80" customFormat="false" ht="15" hidden="false" customHeight="true" outlineLevel="0" collapsed="false">
      <c r="A80" s="23" t="n">
        <v>8</v>
      </c>
      <c r="B80" s="24" t="b">
        <f aca="false">A80&lt;=Inputs!$B$17</f>
        <v>0</v>
      </c>
      <c r="C80" s="25" t="n">
        <f aca="false">C79*(1-Inputs!$B$22)</f>
        <v>0.044678119515534</v>
      </c>
      <c r="D80" s="26" t="n">
        <f aca="false">IF(B80,C80*(VLOOKUP("25",Inputs!$A$29:$K$33,3,FALSE())*(Inputs!$B$25/14)*Inputs!$B$5+VLOOKUP("25",Inputs!$A$29:$K$33,4,FALSE())*(Inputs!$B$25/14)*Inputs!$B$12+VLOOKUP("25",Inputs!$A$29:$K$33,5,FALSE())*(Inputs!$B$25/14)*Inputs!$B$13)+(1-C80)*(VLOOKUP("25",Inputs!$A$29:$K$33,6,FALSE())*(Inputs!$B$25/14)*Inputs!$B$5+VLOOKUP("25",Inputs!$A$29:$K$33,7,FALSE())*(Inputs!$B$25/14)*Inputs!$B$12+VLOOKUP("25",Inputs!$A$29:$K$33,8,FALSE())*(Inputs!$B$25/14)*Inputs!$B$13),C80*((VLOOKUP("25",Inputs!$A$29:$K$33,3,FALSE())*(Inputs!$B$25/14)*Inputs!$B$5+VLOOKUP("25",Inputs!$A$29:$K$33,4,FALSE())*(Inputs!$B$25/14)*Inputs!$B$12+VLOOKUP("25",Inputs!$A$29:$K$33,5,FALSE())*(Inputs!$B$25/14)*Inputs!$B$13)+Inputs!$B$18)+(1-C80)*((INDEX(Inputs!$A$37:$C$37,1,1)*(Inputs!$B$25/14)*Inputs!$B$5+INDEX(Inputs!$A$37:$C$37,1,2)*(Inputs!$B$25/14)*Inputs!$B$12+INDEX(Inputs!$A$37:$C$37,1,3)*(Inputs!$B$25/14)*Inputs!$B$13)))</f>
        <v>327.356282965764</v>
      </c>
      <c r="E80" s="25" t="n">
        <f aca="false">0</f>
        <v>0</v>
      </c>
      <c r="F8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81" customFormat="false" ht="15" hidden="false" customHeight="true" outlineLevel="0" collapsed="false">
      <c r="A81" s="23" t="n">
        <v>9</v>
      </c>
      <c r="B81" s="24" t="b">
        <f aca="false">A81&lt;=Inputs!$B$17</f>
        <v>0</v>
      </c>
      <c r="C81" s="25" t="n">
        <f aca="false">C80*(1-Inputs!$B$22)</f>
        <v>0.0308279024657184</v>
      </c>
      <c r="D81" s="26" t="n">
        <f aca="false">IF(B81,C81*(VLOOKUP("25",Inputs!$A$29:$K$33,3,FALSE())*(Inputs!$B$25/14)*Inputs!$B$5+VLOOKUP("25",Inputs!$A$29:$K$33,4,FALSE())*(Inputs!$B$25/14)*Inputs!$B$12+VLOOKUP("25",Inputs!$A$29:$K$33,5,FALSE())*(Inputs!$B$25/14)*Inputs!$B$13)+(1-C81)*(VLOOKUP("25",Inputs!$A$29:$K$33,6,FALSE())*(Inputs!$B$25/14)*Inputs!$B$5+VLOOKUP("25",Inputs!$A$29:$K$33,7,FALSE())*(Inputs!$B$25/14)*Inputs!$B$12+VLOOKUP("25",Inputs!$A$29:$K$33,8,FALSE())*(Inputs!$B$25/14)*Inputs!$B$13),C81*((VLOOKUP("25",Inputs!$A$29:$K$33,3,FALSE())*(Inputs!$B$25/14)*Inputs!$B$5+VLOOKUP("25",Inputs!$A$29:$K$33,4,FALSE())*(Inputs!$B$25/14)*Inputs!$B$12+VLOOKUP("25",Inputs!$A$29:$K$33,5,FALSE())*(Inputs!$B$25/14)*Inputs!$B$13)+Inputs!$B$18)+(1-C81)*((INDEX(Inputs!$A$37:$C$37,1,1)*(Inputs!$B$25/14)*Inputs!$B$5+INDEX(Inputs!$A$37:$C$37,1,2)*(Inputs!$B$25/14)*Inputs!$B$12+INDEX(Inputs!$A$37:$C$37,1,3)*(Inputs!$B$25/14)*Inputs!$B$13)))</f>
        <v>327.430574106868</v>
      </c>
      <c r="E81" s="25" t="n">
        <f aca="false">0</f>
        <v>0</v>
      </c>
      <c r="F8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82" customFormat="false" ht="15" hidden="false" customHeight="true" outlineLevel="0" collapsed="false">
      <c r="A82" s="23" t="n">
        <v>10</v>
      </c>
      <c r="B82" s="24" t="b">
        <f aca="false">A82&lt;=Inputs!$B$17</f>
        <v>0</v>
      </c>
      <c r="C82" s="25" t="n">
        <f aca="false">C81*(1-Inputs!$B$22)</f>
        <v>0.0212712527013457</v>
      </c>
      <c r="D82" s="26" t="n">
        <f aca="false">IF(B82,C82*(VLOOKUP("25",Inputs!$A$29:$K$33,3,FALSE())*(Inputs!$B$25/14)*Inputs!$B$5+VLOOKUP("25",Inputs!$A$29:$K$33,4,FALSE())*(Inputs!$B$25/14)*Inputs!$B$12+VLOOKUP("25",Inputs!$A$29:$K$33,5,FALSE())*(Inputs!$B$25/14)*Inputs!$B$13)+(1-C82)*(VLOOKUP("25",Inputs!$A$29:$K$33,6,FALSE())*(Inputs!$B$25/14)*Inputs!$B$5+VLOOKUP("25",Inputs!$A$29:$K$33,7,FALSE())*(Inputs!$B$25/14)*Inputs!$B$12+VLOOKUP("25",Inputs!$A$29:$K$33,8,FALSE())*(Inputs!$B$25/14)*Inputs!$B$13),C82*((VLOOKUP("25",Inputs!$A$29:$K$33,3,FALSE())*(Inputs!$B$25/14)*Inputs!$B$5+VLOOKUP("25",Inputs!$A$29:$K$33,4,FALSE())*(Inputs!$B$25/14)*Inputs!$B$12+VLOOKUP("25",Inputs!$A$29:$K$33,5,FALSE())*(Inputs!$B$25/14)*Inputs!$B$13)+Inputs!$B$18)+(1-C82)*((INDEX(Inputs!$A$37:$C$37,1,1)*(Inputs!$B$25/14)*Inputs!$B$5+INDEX(Inputs!$A$37:$C$37,1,2)*(Inputs!$B$25/14)*Inputs!$B$12+INDEX(Inputs!$A$37:$C$37,1,3)*(Inputs!$B$25/14)*Inputs!$B$13)))</f>
        <v>327.48183499423</v>
      </c>
      <c r="E82" s="25" t="n">
        <f aca="false">0</f>
        <v>0</v>
      </c>
      <c r="F8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83" customFormat="false" ht="15" hidden="false" customHeight="true" outlineLevel="0" collapsed="false">
      <c r="A83" s="23" t="n">
        <v>11</v>
      </c>
      <c r="B83" s="24" t="b">
        <f aca="false">A83&lt;=Inputs!$B$17</f>
        <v>0</v>
      </c>
      <c r="C83" s="25" t="n">
        <f aca="false">C82*(1-Inputs!$B$22)</f>
        <v>0.0146771643639286</v>
      </c>
      <c r="D83" s="26" t="n">
        <f aca="false">IF(B83,C83*(VLOOKUP("25",Inputs!$A$29:$K$33,3,FALSE())*(Inputs!$B$25/14)*Inputs!$B$5+VLOOKUP("25",Inputs!$A$29:$K$33,4,FALSE())*(Inputs!$B$25/14)*Inputs!$B$12+VLOOKUP("25",Inputs!$A$29:$K$33,5,FALSE())*(Inputs!$B$25/14)*Inputs!$B$13)+(1-C83)*(VLOOKUP("25",Inputs!$A$29:$K$33,6,FALSE())*(Inputs!$B$25/14)*Inputs!$B$5+VLOOKUP("25",Inputs!$A$29:$K$33,7,FALSE())*(Inputs!$B$25/14)*Inputs!$B$12+VLOOKUP("25",Inputs!$A$29:$K$33,8,FALSE())*(Inputs!$B$25/14)*Inputs!$B$13),C83*((VLOOKUP("25",Inputs!$A$29:$K$33,3,FALSE())*(Inputs!$B$25/14)*Inputs!$B$5+VLOOKUP("25",Inputs!$A$29:$K$33,4,FALSE())*(Inputs!$B$25/14)*Inputs!$B$12+VLOOKUP("25",Inputs!$A$29:$K$33,5,FALSE())*(Inputs!$B$25/14)*Inputs!$B$13)+Inputs!$B$18)+(1-C83)*((INDEX(Inputs!$A$37:$C$37,1,1)*(Inputs!$B$25/14)*Inputs!$B$5+INDEX(Inputs!$A$37:$C$37,1,2)*(Inputs!$B$25/14)*Inputs!$B$12+INDEX(Inputs!$A$37:$C$37,1,3)*(Inputs!$B$25/14)*Inputs!$B$13)))</f>
        <v>327.51720500651</v>
      </c>
      <c r="E83" s="25" t="n">
        <f aca="false">0</f>
        <v>0</v>
      </c>
      <c r="F8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84" customFormat="false" ht="15" hidden="false" customHeight="true" outlineLevel="0" collapsed="false">
      <c r="A84" s="23" t="n">
        <v>12</v>
      </c>
      <c r="B84" s="24" t="b">
        <f aca="false">A84&lt;=Inputs!$B$17</f>
        <v>0</v>
      </c>
      <c r="C84" s="25" t="n">
        <f aca="false">C83*(1-Inputs!$B$22)</f>
        <v>0.0101272434111107</v>
      </c>
      <c r="D84" s="26" t="n">
        <f aca="false">IF(B84,C84*(VLOOKUP("25",Inputs!$A$29:$K$33,3,FALSE())*(Inputs!$B$25/14)*Inputs!$B$5+VLOOKUP("25",Inputs!$A$29:$K$33,4,FALSE())*(Inputs!$B$25/14)*Inputs!$B$12+VLOOKUP("25",Inputs!$A$29:$K$33,5,FALSE())*(Inputs!$B$25/14)*Inputs!$B$13)+(1-C84)*(VLOOKUP("25",Inputs!$A$29:$K$33,6,FALSE())*(Inputs!$B$25/14)*Inputs!$B$5+VLOOKUP("25",Inputs!$A$29:$K$33,7,FALSE())*(Inputs!$B$25/14)*Inputs!$B$12+VLOOKUP("25",Inputs!$A$29:$K$33,8,FALSE())*(Inputs!$B$25/14)*Inputs!$B$13),C84*((VLOOKUP("25",Inputs!$A$29:$K$33,3,FALSE())*(Inputs!$B$25/14)*Inputs!$B$5+VLOOKUP("25",Inputs!$A$29:$K$33,4,FALSE())*(Inputs!$B$25/14)*Inputs!$B$12+VLOOKUP("25",Inputs!$A$29:$K$33,5,FALSE())*(Inputs!$B$25/14)*Inputs!$B$13)+Inputs!$B$18)+(1-C84)*((INDEX(Inputs!$A$37:$C$37,1,1)*(Inputs!$B$25/14)*Inputs!$B$5+INDEX(Inputs!$A$37:$C$37,1,2)*(Inputs!$B$25/14)*Inputs!$B$12+INDEX(Inputs!$A$37:$C$37,1,3)*(Inputs!$B$25/14)*Inputs!$B$13)))</f>
        <v>327.541610314983</v>
      </c>
      <c r="E84" s="25" t="n">
        <f aca="false">0</f>
        <v>0</v>
      </c>
      <c r="F8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85" customFormat="false" ht="15" hidden="false" customHeight="true" outlineLevel="0" collapsed="false">
      <c r="A85" s="27" t="s">
        <v>125</v>
      </c>
      <c r="D85" s="28" t="n">
        <f aca="false">SUM(D73:D84)</f>
        <v>3606.26509845458</v>
      </c>
      <c r="F85" s="28" t="n">
        <f aca="false">SUM(F73:F84)</f>
        <v>3913.41431155826</v>
      </c>
    </row>
    <row r="87" customFormat="false" ht="15" hidden="false" customHeight="true" outlineLevel="0" collapsed="false">
      <c r="A87" s="27" t="s">
        <v>152</v>
      </c>
    </row>
    <row r="88" customFormat="false" ht="21.75" hidden="false" customHeight="true" outlineLevel="0" collapsed="false">
      <c r="A88" s="43" t="s">
        <v>92</v>
      </c>
      <c r="B88" s="43" t="s">
        <v>145</v>
      </c>
      <c r="C88" s="43" t="s">
        <v>146</v>
      </c>
      <c r="D88" s="43" t="s">
        <v>147</v>
      </c>
      <c r="E88" s="43" t="s">
        <v>148</v>
      </c>
      <c r="F88" s="43" t="s">
        <v>149</v>
      </c>
    </row>
    <row r="89" customFormat="false" ht="15" hidden="false" customHeight="true" outlineLevel="0" collapsed="false">
      <c r="A89" s="23" t="n">
        <v>1</v>
      </c>
      <c r="B89" s="24" t="b">
        <f aca="false">A89&lt;=Inputs!$B$17</f>
        <v>1</v>
      </c>
      <c r="C89" s="25" t="n">
        <f aca="false">VLOOKUP("25",Inputs!$A$29:$K$33,2,FALSE())</f>
        <v>0.6</v>
      </c>
      <c r="D89" s="26" t="n">
        <f aca="false">IF(B89,C89*(VLOOKUP("25",Inputs!$A$29:$K$33,3,FALSE())*(Inputs!$B$25/14)*Inputs!$B$5+VLOOKUP("25",Inputs!$A$29:$K$33,4,FALSE())*(Inputs!$B$25/14)*Inputs!$B$12+VLOOKUP("25",Inputs!$A$29:$K$33,5,FALSE())*(Inputs!$B$25/14)*Inputs!$B$13)+(1-C89)*(VLOOKUP("25",Inputs!$A$29:$K$33,6,FALSE())*(Inputs!$B$25/14)*Inputs!$B$5+VLOOKUP("25",Inputs!$A$29:$K$33,7,FALSE())*(Inputs!$B$25/14)*Inputs!$B$12+VLOOKUP("25",Inputs!$A$29:$K$33,8,FALSE())*(Inputs!$B$25/14)*Inputs!$B$13),C89*((VLOOKUP("25",Inputs!$A$29:$K$33,3,FALSE())*(Inputs!$B$25/14)*Inputs!$B$5+VLOOKUP("25",Inputs!$A$29:$K$33,4,FALSE())*(Inputs!$B$25/14)*Inputs!$B$12+VLOOKUP("25",Inputs!$A$29:$K$33,5,FALSE())*(Inputs!$B$25/14)*Inputs!$B$13)+Inputs!$B$18)+(1-C89)*((VLOOKUP("25",Inputs!$A$29:$K$33,9,FALSE())*(Inputs!$B$25/14)*Inputs!$B$5+VLOOKUP("25",Inputs!$A$29:$K$33,10,FALSE())*(Inputs!$B$25/14)*Inputs!$B$12+VLOOKUP("25",Inputs!$A$29:$K$33,11,FALSE())*(Inputs!$B$25/14)*Inputs!$B$13)))</f>
        <v>189.059008761607</v>
      </c>
      <c r="E89" s="25" t="n">
        <f aca="false">Inputs!$B$21</f>
        <v>0.083</v>
      </c>
      <c r="F89" s="26" t="n">
        <f aca="false">E89*(VLOOKUP("25",Inputs!$A$29:$K$33,3,FALSE())*(Inputs!$B$25/14)*Inputs!$B$5+VLOOKUP("25",Inputs!$A$29:$K$33,4,FALSE())*(Inputs!$B$25/14)*Inputs!$B$12+VLOOKUP("25",Inputs!$A$29:$K$33,5,FALSE())*(Inputs!$B$25/14)*Inputs!$B$13)+(1-E89)*(INDEX(Inputs!$A$37:$C$37,1,1)*(Inputs!$B$25/14)*Inputs!$B$5+INDEX(Inputs!$A$37:$C$37,1,2)*(Inputs!$B$25/14)*Inputs!$B$12+INDEX(Inputs!$A$37:$C$37,1,3)*(Inputs!$B$25/14)*Inputs!$B$13)</f>
        <v>309.859061669866</v>
      </c>
    </row>
    <row r="90" customFormat="false" ht="15" hidden="false" customHeight="true" outlineLevel="0" collapsed="false">
      <c r="A90" s="23" t="n">
        <v>2</v>
      </c>
      <c r="B90" s="24" t="b">
        <f aca="false">A90&lt;=Inputs!$B$17</f>
        <v>1</v>
      </c>
      <c r="C90" s="25" t="n">
        <f aca="false">C89*(1-Inputs!$B$22)</f>
        <v>0.414</v>
      </c>
      <c r="D90" s="26" t="n">
        <f aca="false">IF(B90,C90*(VLOOKUP("25",Inputs!$A$29:$K$33,3,FALSE())*(Inputs!$B$25/14)*Inputs!$B$5+VLOOKUP("25",Inputs!$A$29:$K$33,4,FALSE())*(Inputs!$B$25/14)*Inputs!$B$12+VLOOKUP("25",Inputs!$A$29:$K$33,5,FALSE())*(Inputs!$B$25/14)*Inputs!$B$13)+(1-C90)*(VLOOKUP("25",Inputs!$A$29:$K$33,6,FALSE())*(Inputs!$B$25/14)*Inputs!$B$5+VLOOKUP("25",Inputs!$A$29:$K$33,7,FALSE())*(Inputs!$B$25/14)*Inputs!$B$12+VLOOKUP("25",Inputs!$A$29:$K$33,8,FALSE())*(Inputs!$B$25/14)*Inputs!$B$13),C90*((VLOOKUP("25",Inputs!$A$29:$K$33,3,FALSE())*(Inputs!$B$25/14)*Inputs!$B$5+VLOOKUP("25",Inputs!$A$29:$K$33,4,FALSE())*(Inputs!$B$25/14)*Inputs!$B$12+VLOOKUP("25",Inputs!$A$29:$K$33,5,FALSE())*(Inputs!$B$25/14)*Inputs!$B$13)+Inputs!$B$18)+(1-C90)*((VLOOKUP("25",Inputs!$A$29:$K$33,9,FALSE())*(Inputs!$B$25/14)*Inputs!$B$5+VLOOKUP("25",Inputs!$A$29:$K$33,10,FALSE())*(Inputs!$B$25/14)*Inputs!$B$12+VLOOKUP("25",Inputs!$A$29:$K$33,11,FALSE())*(Inputs!$B$25/14)*Inputs!$B$13)))</f>
        <v>224.008551764884</v>
      </c>
      <c r="E90" s="25" t="n">
        <f aca="false">0</f>
        <v>0</v>
      </c>
      <c r="F9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1" customFormat="false" ht="15" hidden="false" customHeight="true" outlineLevel="0" collapsed="false">
      <c r="A91" s="23" t="n">
        <v>3</v>
      </c>
      <c r="B91" s="24" t="b">
        <f aca="false">A91&lt;=Inputs!$B$17</f>
        <v>1</v>
      </c>
      <c r="C91" s="25" t="n">
        <f aca="false">C90*(1-Inputs!$B$22)</f>
        <v>0.28566</v>
      </c>
      <c r="D91" s="26" t="n">
        <f aca="false">IF(B91,C91*(VLOOKUP("25",Inputs!$A$29:$K$33,3,FALSE())*(Inputs!$B$25/14)*Inputs!$B$5+VLOOKUP("25",Inputs!$A$29:$K$33,4,FALSE())*(Inputs!$B$25/14)*Inputs!$B$12+VLOOKUP("25",Inputs!$A$29:$K$33,5,FALSE())*(Inputs!$B$25/14)*Inputs!$B$13)+(1-C91)*(VLOOKUP("25",Inputs!$A$29:$K$33,6,FALSE())*(Inputs!$B$25/14)*Inputs!$B$5+VLOOKUP("25",Inputs!$A$29:$K$33,7,FALSE())*(Inputs!$B$25/14)*Inputs!$B$12+VLOOKUP("25",Inputs!$A$29:$K$33,8,FALSE())*(Inputs!$B$25/14)*Inputs!$B$13),C91*((VLOOKUP("25",Inputs!$A$29:$K$33,3,FALSE())*(Inputs!$B$25/14)*Inputs!$B$5+VLOOKUP("25",Inputs!$A$29:$K$33,4,FALSE())*(Inputs!$B$25/14)*Inputs!$B$12+VLOOKUP("25",Inputs!$A$29:$K$33,5,FALSE())*(Inputs!$B$25/14)*Inputs!$B$13)+Inputs!$B$18)+(1-C91)*((VLOOKUP("25",Inputs!$A$29:$K$33,9,FALSE())*(Inputs!$B$25/14)*Inputs!$B$5+VLOOKUP("25",Inputs!$A$29:$K$33,10,FALSE())*(Inputs!$B$25/14)*Inputs!$B$12+VLOOKUP("25",Inputs!$A$29:$K$33,11,FALSE())*(Inputs!$B$25/14)*Inputs!$B$13)))</f>
        <v>248.123736437145</v>
      </c>
      <c r="E91" s="25" t="n">
        <f aca="false">0</f>
        <v>0</v>
      </c>
      <c r="F9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2" customFormat="false" ht="15" hidden="false" customHeight="true" outlineLevel="0" collapsed="false">
      <c r="A92" s="23" t="n">
        <v>4</v>
      </c>
      <c r="B92" s="24" t="b">
        <f aca="false">A92&lt;=Inputs!$B$17</f>
        <v>0</v>
      </c>
      <c r="C92" s="25" t="n">
        <f aca="false">C91*(1-Inputs!$B$22)</f>
        <v>0.1971054</v>
      </c>
      <c r="D92" s="26" t="n">
        <f aca="false">IF(B92,C92*(VLOOKUP("25",Inputs!$A$29:$K$33,3,FALSE())*(Inputs!$B$25/14)*Inputs!$B$5+VLOOKUP("25",Inputs!$A$29:$K$33,4,FALSE())*(Inputs!$B$25/14)*Inputs!$B$12+VLOOKUP("25",Inputs!$A$29:$K$33,5,FALSE())*(Inputs!$B$25/14)*Inputs!$B$13)+(1-C92)*(VLOOKUP("25",Inputs!$A$29:$K$33,6,FALSE())*(Inputs!$B$25/14)*Inputs!$B$5+VLOOKUP("25",Inputs!$A$29:$K$33,7,FALSE())*(Inputs!$B$25/14)*Inputs!$B$12+VLOOKUP("25",Inputs!$A$29:$K$33,8,FALSE())*(Inputs!$B$25/14)*Inputs!$B$13),C92*((VLOOKUP("25",Inputs!$A$29:$K$33,3,FALSE())*(Inputs!$B$25/14)*Inputs!$B$5+VLOOKUP("25",Inputs!$A$29:$K$33,4,FALSE())*(Inputs!$B$25/14)*Inputs!$B$12+VLOOKUP("25",Inputs!$A$29:$K$33,5,FALSE())*(Inputs!$B$25/14)*Inputs!$B$13)+Inputs!$B$18)+(1-C92)*((VLOOKUP("25",Inputs!$A$29:$K$33,9,FALSE())*(Inputs!$B$25/14)*Inputs!$B$5+VLOOKUP("25",Inputs!$A$29:$K$33,10,FALSE())*(Inputs!$B$25/14)*Inputs!$B$12+VLOOKUP("25",Inputs!$A$29:$K$33,11,FALSE())*(Inputs!$B$25/14)*Inputs!$B$13)))</f>
        <v>253.490403974201</v>
      </c>
      <c r="E92" s="25" t="n">
        <f aca="false">0</f>
        <v>0</v>
      </c>
      <c r="F9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3" customFormat="false" ht="15" hidden="false" customHeight="true" outlineLevel="0" collapsed="false">
      <c r="A93" s="23" t="n">
        <v>5</v>
      </c>
      <c r="B93" s="24" t="b">
        <f aca="false">A93&lt;=Inputs!$B$17</f>
        <v>0</v>
      </c>
      <c r="C93" s="25" t="n">
        <f aca="false">C92*(1-Inputs!$B$22)</f>
        <v>0.136002726</v>
      </c>
      <c r="D93" s="26" t="n">
        <f aca="false">IF(B93,C93*(VLOOKUP("25",Inputs!$A$29:$K$33,3,FALSE())*(Inputs!$B$25/14)*Inputs!$B$5+VLOOKUP("25",Inputs!$A$29:$K$33,4,FALSE())*(Inputs!$B$25/14)*Inputs!$B$12+VLOOKUP("25",Inputs!$A$29:$K$33,5,FALSE())*(Inputs!$B$25/14)*Inputs!$B$13)+(1-C93)*(VLOOKUP("25",Inputs!$A$29:$K$33,6,FALSE())*(Inputs!$B$25/14)*Inputs!$B$5+VLOOKUP("25",Inputs!$A$29:$K$33,7,FALSE())*(Inputs!$B$25/14)*Inputs!$B$12+VLOOKUP("25",Inputs!$A$29:$K$33,8,FALSE())*(Inputs!$B$25/14)*Inputs!$B$13),C93*((VLOOKUP("25",Inputs!$A$29:$K$33,3,FALSE())*(Inputs!$B$25/14)*Inputs!$B$5+VLOOKUP("25",Inputs!$A$29:$K$33,4,FALSE())*(Inputs!$B$25/14)*Inputs!$B$12+VLOOKUP("25",Inputs!$A$29:$K$33,5,FALSE())*(Inputs!$B$25/14)*Inputs!$B$13)+Inputs!$B$18)+(1-C93)*((VLOOKUP("25",Inputs!$A$29:$K$33,9,FALSE())*(Inputs!$B$25/14)*Inputs!$B$5+VLOOKUP("25",Inputs!$A$29:$K$33,10,FALSE())*(Inputs!$B$25/14)*Inputs!$B$12+VLOOKUP("25",Inputs!$A$29:$K$33,11,FALSE())*(Inputs!$B$25/14)*Inputs!$B$13)))</f>
        <v>248.258960838359</v>
      </c>
      <c r="E93" s="25" t="n">
        <f aca="false">0</f>
        <v>0</v>
      </c>
      <c r="F9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4" customFormat="false" ht="15" hidden="false" customHeight="true" outlineLevel="0" collapsed="false">
      <c r="A94" s="23" t="n">
        <v>6</v>
      </c>
      <c r="B94" s="24" t="b">
        <f aca="false">A94&lt;=Inputs!$B$17</f>
        <v>0</v>
      </c>
      <c r="C94" s="25" t="n">
        <f aca="false">C93*(1-Inputs!$B$22)</f>
        <v>0.09384188094</v>
      </c>
      <c r="D94" s="26" t="n">
        <f aca="false">IF(B94,C94*(VLOOKUP("25",Inputs!$A$29:$K$33,3,FALSE())*(Inputs!$B$25/14)*Inputs!$B$5+VLOOKUP("25",Inputs!$A$29:$K$33,4,FALSE())*(Inputs!$B$25/14)*Inputs!$B$12+VLOOKUP("25",Inputs!$A$29:$K$33,5,FALSE())*(Inputs!$B$25/14)*Inputs!$B$13)+(1-C94)*(VLOOKUP("25",Inputs!$A$29:$K$33,6,FALSE())*(Inputs!$B$25/14)*Inputs!$B$5+VLOOKUP("25",Inputs!$A$29:$K$33,7,FALSE())*(Inputs!$B$25/14)*Inputs!$B$12+VLOOKUP("25",Inputs!$A$29:$K$33,8,FALSE())*(Inputs!$B$25/14)*Inputs!$B$13),C94*((VLOOKUP("25",Inputs!$A$29:$K$33,3,FALSE())*(Inputs!$B$25/14)*Inputs!$B$5+VLOOKUP("25",Inputs!$A$29:$K$33,4,FALSE())*(Inputs!$B$25/14)*Inputs!$B$12+VLOOKUP("25",Inputs!$A$29:$K$33,5,FALSE())*(Inputs!$B$25/14)*Inputs!$B$13)+Inputs!$B$18)+(1-C94)*((VLOOKUP("25",Inputs!$A$29:$K$33,9,FALSE())*(Inputs!$B$25/14)*Inputs!$B$5+VLOOKUP("25",Inputs!$A$29:$K$33,10,FALSE())*(Inputs!$B$25/14)*Inputs!$B$12+VLOOKUP("25",Inputs!$A$29:$K$33,11,FALSE())*(Inputs!$B$25/14)*Inputs!$B$13)))</f>
        <v>244.649265074629</v>
      </c>
      <c r="E94" s="25" t="n">
        <f aca="false">0</f>
        <v>0</v>
      </c>
      <c r="F9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5" customFormat="false" ht="15" hidden="false" customHeight="true" outlineLevel="0" collapsed="false">
      <c r="A95" s="23" t="n">
        <v>7</v>
      </c>
      <c r="B95" s="24" t="b">
        <f aca="false">A95&lt;=Inputs!$B$17</f>
        <v>0</v>
      </c>
      <c r="C95" s="25" t="n">
        <f aca="false">C94*(1-Inputs!$B$22)</f>
        <v>0.0647508978486</v>
      </c>
      <c r="D95" s="26" t="n">
        <f aca="false">IF(B95,C95*(VLOOKUP("25",Inputs!$A$29:$K$33,3,FALSE())*(Inputs!$B$25/14)*Inputs!$B$5+VLOOKUP("25",Inputs!$A$29:$K$33,4,FALSE())*(Inputs!$B$25/14)*Inputs!$B$12+VLOOKUP("25",Inputs!$A$29:$K$33,5,FALSE())*(Inputs!$B$25/14)*Inputs!$B$13)+(1-C95)*(VLOOKUP("25",Inputs!$A$29:$K$33,6,FALSE())*(Inputs!$B$25/14)*Inputs!$B$5+VLOOKUP("25",Inputs!$A$29:$K$33,7,FALSE())*(Inputs!$B$25/14)*Inputs!$B$12+VLOOKUP("25",Inputs!$A$29:$K$33,8,FALSE())*(Inputs!$B$25/14)*Inputs!$B$13),C95*((VLOOKUP("25",Inputs!$A$29:$K$33,3,FALSE())*(Inputs!$B$25/14)*Inputs!$B$5+VLOOKUP("25",Inputs!$A$29:$K$33,4,FALSE())*(Inputs!$B$25/14)*Inputs!$B$12+VLOOKUP("25",Inputs!$A$29:$K$33,5,FALSE())*(Inputs!$B$25/14)*Inputs!$B$13)+Inputs!$B$18)+(1-C95)*((VLOOKUP("25",Inputs!$A$29:$K$33,9,FALSE())*(Inputs!$B$25/14)*Inputs!$B$5+VLOOKUP("25",Inputs!$A$29:$K$33,10,FALSE())*(Inputs!$B$25/14)*Inputs!$B$12+VLOOKUP("25",Inputs!$A$29:$K$33,11,FALSE())*(Inputs!$B$25/14)*Inputs!$B$13)))</f>
        <v>242.158574997655</v>
      </c>
      <c r="E95" s="25" t="n">
        <f aca="false">0</f>
        <v>0</v>
      </c>
      <c r="F9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6" customFormat="false" ht="15" hidden="false" customHeight="true" outlineLevel="0" collapsed="false">
      <c r="A96" s="23" t="n">
        <v>8</v>
      </c>
      <c r="B96" s="24" t="b">
        <f aca="false">A96&lt;=Inputs!$B$17</f>
        <v>0</v>
      </c>
      <c r="C96" s="25" t="n">
        <f aca="false">C95*(1-Inputs!$B$22)</f>
        <v>0.044678119515534</v>
      </c>
      <c r="D96" s="26" t="n">
        <f aca="false">IF(B96,C96*(VLOOKUP("25",Inputs!$A$29:$K$33,3,FALSE())*(Inputs!$B$25/14)*Inputs!$B$5+VLOOKUP("25",Inputs!$A$29:$K$33,4,FALSE())*(Inputs!$B$25/14)*Inputs!$B$12+VLOOKUP("25",Inputs!$A$29:$K$33,5,FALSE())*(Inputs!$B$25/14)*Inputs!$B$13)+(1-C96)*(VLOOKUP("25",Inputs!$A$29:$K$33,6,FALSE())*(Inputs!$B$25/14)*Inputs!$B$5+VLOOKUP("25",Inputs!$A$29:$K$33,7,FALSE())*(Inputs!$B$25/14)*Inputs!$B$12+VLOOKUP("25",Inputs!$A$29:$K$33,8,FALSE())*(Inputs!$B$25/14)*Inputs!$B$13),C96*((VLOOKUP("25",Inputs!$A$29:$K$33,3,FALSE())*(Inputs!$B$25/14)*Inputs!$B$5+VLOOKUP("25",Inputs!$A$29:$K$33,4,FALSE())*(Inputs!$B$25/14)*Inputs!$B$12+VLOOKUP("25",Inputs!$A$29:$K$33,5,FALSE())*(Inputs!$B$25/14)*Inputs!$B$13)+Inputs!$B$18)+(1-C96)*((VLOOKUP("25",Inputs!$A$29:$K$33,9,FALSE())*(Inputs!$B$25/14)*Inputs!$B$5+VLOOKUP("25",Inputs!$A$29:$K$33,10,FALSE())*(Inputs!$B$25/14)*Inputs!$B$12+VLOOKUP("25",Inputs!$A$29:$K$33,11,FALSE())*(Inputs!$B$25/14)*Inputs!$B$13)))</f>
        <v>240.439998844542</v>
      </c>
      <c r="E96" s="25" t="n">
        <f aca="false">0</f>
        <v>0</v>
      </c>
      <c r="F9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7" customFormat="false" ht="15" hidden="false" customHeight="true" outlineLevel="0" collapsed="false">
      <c r="A97" s="23" t="n">
        <v>9</v>
      </c>
      <c r="B97" s="24" t="b">
        <f aca="false">A97&lt;=Inputs!$B$17</f>
        <v>0</v>
      </c>
      <c r="C97" s="25" t="n">
        <f aca="false">C96*(1-Inputs!$B$22)</f>
        <v>0.0308279024657184</v>
      </c>
      <c r="D97" s="26" t="n">
        <f aca="false">IF(B97,C97*(VLOOKUP("25",Inputs!$A$29:$K$33,3,FALSE())*(Inputs!$B$25/14)*Inputs!$B$5+VLOOKUP("25",Inputs!$A$29:$K$33,4,FALSE())*(Inputs!$B$25/14)*Inputs!$B$12+VLOOKUP("25",Inputs!$A$29:$K$33,5,FALSE())*(Inputs!$B$25/14)*Inputs!$B$13)+(1-C97)*(VLOOKUP("25",Inputs!$A$29:$K$33,6,FALSE())*(Inputs!$B$25/14)*Inputs!$B$5+VLOOKUP("25",Inputs!$A$29:$K$33,7,FALSE())*(Inputs!$B$25/14)*Inputs!$B$12+VLOOKUP("25",Inputs!$A$29:$K$33,8,FALSE())*(Inputs!$B$25/14)*Inputs!$B$13),C97*((VLOOKUP("25",Inputs!$A$29:$K$33,3,FALSE())*(Inputs!$B$25/14)*Inputs!$B$5+VLOOKUP("25",Inputs!$A$29:$K$33,4,FALSE())*(Inputs!$B$25/14)*Inputs!$B$12+VLOOKUP("25",Inputs!$A$29:$K$33,5,FALSE())*(Inputs!$B$25/14)*Inputs!$B$13)+Inputs!$B$18)+(1-C97)*((VLOOKUP("25",Inputs!$A$29:$K$33,9,FALSE())*(Inputs!$B$25/14)*Inputs!$B$5+VLOOKUP("25",Inputs!$A$29:$K$33,10,FALSE())*(Inputs!$B$25/14)*Inputs!$B$12+VLOOKUP("25",Inputs!$A$29:$K$33,11,FALSE())*(Inputs!$B$25/14)*Inputs!$B$13)))</f>
        <v>239.254181298895</v>
      </c>
      <c r="E97" s="25" t="n">
        <f aca="false">0</f>
        <v>0</v>
      </c>
      <c r="F9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8" customFormat="false" ht="15" hidden="false" customHeight="true" outlineLevel="0" collapsed="false">
      <c r="A98" s="23" t="n">
        <v>10</v>
      </c>
      <c r="B98" s="24" t="b">
        <f aca="false">A98&lt;=Inputs!$B$17</f>
        <v>0</v>
      </c>
      <c r="C98" s="25" t="n">
        <f aca="false">C97*(1-Inputs!$B$22)</f>
        <v>0.0212712527013457</v>
      </c>
      <c r="D98" s="26" t="n">
        <f aca="false">IF(B98,C98*(VLOOKUP("25",Inputs!$A$29:$K$33,3,FALSE())*(Inputs!$B$25/14)*Inputs!$B$5+VLOOKUP("25",Inputs!$A$29:$K$33,4,FALSE())*(Inputs!$B$25/14)*Inputs!$B$12+VLOOKUP("25",Inputs!$A$29:$K$33,5,FALSE())*(Inputs!$B$25/14)*Inputs!$B$13)+(1-C98)*(VLOOKUP("25",Inputs!$A$29:$K$33,6,FALSE())*(Inputs!$B$25/14)*Inputs!$B$5+VLOOKUP("25",Inputs!$A$29:$K$33,7,FALSE())*(Inputs!$B$25/14)*Inputs!$B$12+VLOOKUP("25",Inputs!$A$29:$K$33,8,FALSE())*(Inputs!$B$25/14)*Inputs!$B$13),C98*((VLOOKUP("25",Inputs!$A$29:$K$33,3,FALSE())*(Inputs!$B$25/14)*Inputs!$B$5+VLOOKUP("25",Inputs!$A$29:$K$33,4,FALSE())*(Inputs!$B$25/14)*Inputs!$B$12+VLOOKUP("25",Inputs!$A$29:$K$33,5,FALSE())*(Inputs!$B$25/14)*Inputs!$B$13)+Inputs!$B$18)+(1-C98)*((VLOOKUP("25",Inputs!$A$29:$K$33,9,FALSE())*(Inputs!$B$25/14)*Inputs!$B$5+VLOOKUP("25",Inputs!$A$29:$K$33,10,FALSE())*(Inputs!$B$25/14)*Inputs!$B$12+VLOOKUP("25",Inputs!$A$29:$K$33,11,FALSE())*(Inputs!$B$25/14)*Inputs!$B$13)))</f>
        <v>238.435967192398</v>
      </c>
      <c r="E98" s="25" t="n">
        <f aca="false">0</f>
        <v>0</v>
      </c>
      <c r="F9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99" customFormat="false" ht="15" hidden="false" customHeight="true" outlineLevel="0" collapsed="false">
      <c r="A99" s="23" t="n">
        <v>11</v>
      </c>
      <c r="B99" s="24" t="b">
        <f aca="false">A99&lt;=Inputs!$B$17</f>
        <v>0</v>
      </c>
      <c r="C99" s="25" t="n">
        <f aca="false">C98*(1-Inputs!$B$22)</f>
        <v>0.0146771643639286</v>
      </c>
      <c r="D99" s="26" t="n">
        <f aca="false">IF(B99,C99*(VLOOKUP("25",Inputs!$A$29:$K$33,3,FALSE())*(Inputs!$B$25/14)*Inputs!$B$5+VLOOKUP("25",Inputs!$A$29:$K$33,4,FALSE())*(Inputs!$B$25/14)*Inputs!$B$12+VLOOKUP("25",Inputs!$A$29:$K$33,5,FALSE())*(Inputs!$B$25/14)*Inputs!$B$13)+(1-C99)*(VLOOKUP("25",Inputs!$A$29:$K$33,6,FALSE())*(Inputs!$B$25/14)*Inputs!$B$5+VLOOKUP("25",Inputs!$A$29:$K$33,7,FALSE())*(Inputs!$B$25/14)*Inputs!$B$12+VLOOKUP("25",Inputs!$A$29:$K$33,8,FALSE())*(Inputs!$B$25/14)*Inputs!$B$13),C99*((VLOOKUP("25",Inputs!$A$29:$K$33,3,FALSE())*(Inputs!$B$25/14)*Inputs!$B$5+VLOOKUP("25",Inputs!$A$29:$K$33,4,FALSE())*(Inputs!$B$25/14)*Inputs!$B$12+VLOOKUP("25",Inputs!$A$29:$K$33,5,FALSE())*(Inputs!$B$25/14)*Inputs!$B$13)+Inputs!$B$18)+(1-C99)*((VLOOKUP("25",Inputs!$A$29:$K$33,9,FALSE())*(Inputs!$B$25/14)*Inputs!$B$5+VLOOKUP("25",Inputs!$A$29:$K$33,10,FALSE())*(Inputs!$B$25/14)*Inputs!$B$12+VLOOKUP("25",Inputs!$A$29:$K$33,11,FALSE())*(Inputs!$B$25/14)*Inputs!$B$13)))</f>
        <v>237.871399458915</v>
      </c>
      <c r="E99" s="25" t="n">
        <f aca="false">0</f>
        <v>0</v>
      </c>
      <c r="F9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00" customFormat="false" ht="15" hidden="false" customHeight="true" outlineLevel="0" collapsed="false">
      <c r="A100" s="23" t="n">
        <v>12</v>
      </c>
      <c r="B100" s="24" t="b">
        <f aca="false">A100&lt;=Inputs!$B$17</f>
        <v>0</v>
      </c>
      <c r="C100" s="25" t="n">
        <f aca="false">C99*(1-Inputs!$B$22)</f>
        <v>0.0101272434111107</v>
      </c>
      <c r="D100" s="26" t="n">
        <f aca="false">IF(B100,C100*(VLOOKUP("25",Inputs!$A$29:$K$33,3,FALSE())*(Inputs!$B$25/14)*Inputs!$B$5+VLOOKUP("25",Inputs!$A$29:$K$33,4,FALSE())*(Inputs!$B$25/14)*Inputs!$B$12+VLOOKUP("25",Inputs!$A$29:$K$33,5,FALSE())*(Inputs!$B$25/14)*Inputs!$B$13)+(1-C100)*(VLOOKUP("25",Inputs!$A$29:$K$33,6,FALSE())*(Inputs!$B$25/14)*Inputs!$B$5+VLOOKUP("25",Inputs!$A$29:$K$33,7,FALSE())*(Inputs!$B$25/14)*Inputs!$B$12+VLOOKUP("25",Inputs!$A$29:$K$33,8,FALSE())*(Inputs!$B$25/14)*Inputs!$B$13),C100*((VLOOKUP("25",Inputs!$A$29:$K$33,3,FALSE())*(Inputs!$B$25/14)*Inputs!$B$5+VLOOKUP("25",Inputs!$A$29:$K$33,4,FALSE())*(Inputs!$B$25/14)*Inputs!$B$12+VLOOKUP("25",Inputs!$A$29:$K$33,5,FALSE())*(Inputs!$B$25/14)*Inputs!$B$13)+Inputs!$B$18)+(1-C100)*((VLOOKUP("25",Inputs!$A$29:$K$33,9,FALSE())*(Inputs!$B$25/14)*Inputs!$B$5+VLOOKUP("25",Inputs!$A$29:$K$33,10,FALSE())*(Inputs!$B$25/14)*Inputs!$B$12+VLOOKUP("25",Inputs!$A$29:$K$33,11,FALSE())*(Inputs!$B$25/14)*Inputs!$B$13)))</f>
        <v>237.481847722812</v>
      </c>
      <c r="E100" s="25" t="n">
        <f aca="false">0</f>
        <v>0</v>
      </c>
      <c r="F10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01" customFormat="false" ht="15" hidden="false" customHeight="true" outlineLevel="0" collapsed="false">
      <c r="A101" s="27" t="s">
        <v>125</v>
      </c>
      <c r="D101" s="28" t="n">
        <f aca="false">SUM(D89:D100)</f>
        <v>2843.23189636604</v>
      </c>
      <c r="F101" s="28" t="n">
        <f aca="false">SUM(F89:F100)</f>
        <v>3913.41431155826</v>
      </c>
    </row>
    <row r="103" customFormat="false" ht="15" hidden="false" customHeight="true" outlineLevel="0" collapsed="false">
      <c r="A103" s="27" t="s">
        <v>153</v>
      </c>
    </row>
    <row r="104" customFormat="false" ht="21.75" hidden="false" customHeight="true" outlineLevel="0" collapsed="false">
      <c r="A104" s="43" t="s">
        <v>92</v>
      </c>
      <c r="B104" s="43" t="s">
        <v>145</v>
      </c>
      <c r="C104" s="43" t="s">
        <v>146</v>
      </c>
      <c r="D104" s="43" t="s">
        <v>147</v>
      </c>
      <c r="E104" s="43" t="s">
        <v>148</v>
      </c>
      <c r="F104" s="43" t="s">
        <v>149</v>
      </c>
    </row>
    <row r="105" customFormat="false" ht="15" hidden="false" customHeight="true" outlineLevel="0" collapsed="false">
      <c r="A105" s="23" t="n">
        <v>1</v>
      </c>
      <c r="B105" s="24" t="b">
        <f aca="false">A105&lt;=Inputs!$B$17</f>
        <v>1</v>
      </c>
      <c r="C105" s="25" t="n">
        <f aca="false">VLOOKUP("25",Inputs!$A$29:$K$33,2,FALSE())</f>
        <v>0.6</v>
      </c>
      <c r="D105" s="26" t="n">
        <f aca="false">IF(B105,C105*(VLOOKUP("25",Inputs!$A$29:$K$33,3,FALSE())*(Inputs!$B$25/14)*Inputs!$B$5+VLOOKUP("25",Inputs!$A$29:$K$33,4,FALSE())*(Inputs!$B$25/14)*Inputs!$B$12+VLOOKUP("25",Inputs!$A$29:$K$33,5,FALSE())*(Inputs!$B$25/14)*Inputs!$B$13)+(1-C105)*(VLOOKUP("25",Inputs!$A$29:$K$33,6,FALSE())*(Inputs!$B$25/14)*Inputs!$B$5+VLOOKUP("25",Inputs!$A$29:$K$33,7,FALSE())*(Inputs!$B$25/14)*Inputs!$B$12+VLOOKUP("25",Inputs!$A$29:$K$33,8,FALSE())*(Inputs!$B$25/14)*Inputs!$B$13),C105*((VLOOKUP("25",Inputs!$A$29:$K$33,3,FALSE())*(Inputs!$B$25/14)*Inputs!$B$5+VLOOKUP("25",Inputs!$A$29:$K$33,4,FALSE())*(Inputs!$B$25/14)*Inputs!$B$12+VLOOKUP("25",Inputs!$A$29:$K$33,5,FALSE())*(Inputs!$B$25/14)*Inputs!$B$13)+Inputs!$B$18)+(1-C105)*((INDEX(Inputs!$A$37:$C$37,1,1)*(Inputs!$B$25/14)*Inputs!$B$5+INDEX(Inputs!$A$37:$C$37,1,2)*(Inputs!$B$25/14)*Inputs!$B$12+INDEX(Inputs!$A$37:$C$37,1,3)*(Inputs!$B$25/14)*Inputs!$B$13)))</f>
        <v>189.059008761607</v>
      </c>
      <c r="E105" s="25" t="n">
        <f aca="false">Inputs!$B$21</f>
        <v>0.083</v>
      </c>
      <c r="F105" s="26" t="n">
        <f aca="false">E105*(VLOOKUP("25",Inputs!$A$29:$K$33,3,FALSE())*(Inputs!$B$25/14)*Inputs!$B$5+VLOOKUP("25",Inputs!$A$29:$K$33,4,FALSE())*(Inputs!$B$25/14)*Inputs!$B$12+VLOOKUP("25",Inputs!$A$29:$K$33,5,FALSE())*(Inputs!$B$25/14)*Inputs!$B$13)+(1-E105)*(INDEX(Inputs!$A$37:$C$37,1,1)*(Inputs!$B$25/14)*Inputs!$B$5+INDEX(Inputs!$A$37:$C$37,1,2)*(Inputs!$B$25/14)*Inputs!$B$12+INDEX(Inputs!$A$37:$C$37,1,3)*(Inputs!$B$25/14)*Inputs!$B$13)</f>
        <v>309.859061669866</v>
      </c>
    </row>
    <row r="106" customFormat="false" ht="15" hidden="false" customHeight="true" outlineLevel="0" collapsed="false">
      <c r="A106" s="23" t="n">
        <v>2</v>
      </c>
      <c r="B106" s="24" t="b">
        <f aca="false">A106&lt;=Inputs!$B$17</f>
        <v>1</v>
      </c>
      <c r="C106" s="25" t="n">
        <f aca="false">C105*(1-Inputs!$B$22*(0.9^(A106-2)))</f>
        <v>0.414</v>
      </c>
      <c r="D106" s="26" t="n">
        <f aca="false">IF(B106,C106*(VLOOKUP("25",Inputs!$A$29:$K$33,3,FALSE())*(Inputs!$B$25/14)*Inputs!$B$5+VLOOKUP("25",Inputs!$A$29:$K$33,4,FALSE())*(Inputs!$B$25/14)*Inputs!$B$12+VLOOKUP("25",Inputs!$A$29:$K$33,5,FALSE())*(Inputs!$B$25/14)*Inputs!$B$13)+(1-C106)*(VLOOKUP("25",Inputs!$A$29:$K$33,6,FALSE())*(Inputs!$B$25/14)*Inputs!$B$5+VLOOKUP("25",Inputs!$A$29:$K$33,7,FALSE())*(Inputs!$B$25/14)*Inputs!$B$12+VLOOKUP("25",Inputs!$A$29:$K$33,8,FALSE())*(Inputs!$B$25/14)*Inputs!$B$13),C106*((VLOOKUP("25",Inputs!$A$29:$K$33,3,FALSE())*(Inputs!$B$25/14)*Inputs!$B$5+VLOOKUP("25",Inputs!$A$29:$K$33,4,FALSE())*(Inputs!$B$25/14)*Inputs!$B$12+VLOOKUP("25",Inputs!$A$29:$K$33,5,FALSE())*(Inputs!$B$25/14)*Inputs!$B$13)+Inputs!$B$18)+(1-C106)*((INDEX(Inputs!$A$37:$C$37,1,1)*(Inputs!$B$25/14)*Inputs!$B$5+INDEX(Inputs!$A$37:$C$37,1,2)*(Inputs!$B$25/14)*Inputs!$B$12+INDEX(Inputs!$A$37:$C$37,1,3)*(Inputs!$B$25/14)*Inputs!$B$13)))</f>
        <v>224.008551764884</v>
      </c>
      <c r="E106" s="25" t="n">
        <f aca="false">0</f>
        <v>0</v>
      </c>
      <c r="F10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07" customFormat="false" ht="15" hidden="false" customHeight="true" outlineLevel="0" collapsed="false">
      <c r="A107" s="23" t="n">
        <v>3</v>
      </c>
      <c r="B107" s="24" t="b">
        <f aca="false">A107&lt;=Inputs!$B$17</f>
        <v>1</v>
      </c>
      <c r="C107" s="25" t="n">
        <f aca="false">C106*(1-Inputs!$B$22*(0.9^(A107-2)))</f>
        <v>0.298494</v>
      </c>
      <c r="D107" s="26" t="n">
        <f aca="false">IF(B107,C107*(VLOOKUP("25",Inputs!$A$29:$K$33,3,FALSE())*(Inputs!$B$25/14)*Inputs!$B$5+VLOOKUP("25",Inputs!$A$29:$K$33,4,FALSE())*(Inputs!$B$25/14)*Inputs!$B$12+VLOOKUP("25",Inputs!$A$29:$K$33,5,FALSE())*(Inputs!$B$25/14)*Inputs!$B$13)+(1-C107)*(VLOOKUP("25",Inputs!$A$29:$K$33,6,FALSE())*(Inputs!$B$25/14)*Inputs!$B$5+VLOOKUP("25",Inputs!$A$29:$K$33,7,FALSE())*(Inputs!$B$25/14)*Inputs!$B$12+VLOOKUP("25",Inputs!$A$29:$K$33,8,FALSE())*(Inputs!$B$25/14)*Inputs!$B$13),C107*((VLOOKUP("25",Inputs!$A$29:$K$33,3,FALSE())*(Inputs!$B$25/14)*Inputs!$B$5+VLOOKUP("25",Inputs!$A$29:$K$33,4,FALSE())*(Inputs!$B$25/14)*Inputs!$B$12+VLOOKUP("25",Inputs!$A$29:$K$33,5,FALSE())*(Inputs!$B$25/14)*Inputs!$B$13)+Inputs!$B$18)+(1-C107)*((INDEX(Inputs!$A$37:$C$37,1,1)*(Inputs!$B$25/14)*Inputs!$B$5+INDEX(Inputs!$A$37:$C$37,1,2)*(Inputs!$B$25/14)*Inputs!$B$12+INDEX(Inputs!$A$37:$C$37,1,3)*(Inputs!$B$25/14)*Inputs!$B$13)))</f>
        <v>245.712217969919</v>
      </c>
      <c r="E107" s="25" t="n">
        <f aca="false">0</f>
        <v>0</v>
      </c>
      <c r="F10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08" customFormat="false" ht="15" hidden="false" customHeight="true" outlineLevel="0" collapsed="false">
      <c r="A108" s="23" t="n">
        <v>4</v>
      </c>
      <c r="B108" s="24" t="b">
        <f aca="false">A108&lt;=Inputs!$B$17</f>
        <v>0</v>
      </c>
      <c r="C108" s="25" t="n">
        <f aca="false">C107*(1-Inputs!$B$22*(0.9^(A108-2)))</f>
        <v>0.2235421566</v>
      </c>
      <c r="D108" s="26" t="n">
        <f aca="false">IF(B108,C108*(VLOOKUP("25",Inputs!$A$29:$K$33,3,FALSE())*(Inputs!$B$25/14)*Inputs!$B$5+VLOOKUP("25",Inputs!$A$29:$K$33,4,FALSE())*(Inputs!$B$25/14)*Inputs!$B$12+VLOOKUP("25",Inputs!$A$29:$K$33,5,FALSE())*(Inputs!$B$25/14)*Inputs!$B$13)+(1-C108)*(VLOOKUP("25",Inputs!$A$29:$K$33,6,FALSE())*(Inputs!$B$25/14)*Inputs!$B$5+VLOOKUP("25",Inputs!$A$29:$K$33,7,FALSE())*(Inputs!$B$25/14)*Inputs!$B$12+VLOOKUP("25",Inputs!$A$29:$K$33,8,FALSE())*(Inputs!$B$25/14)*Inputs!$B$13),C108*((VLOOKUP("25",Inputs!$A$29:$K$33,3,FALSE())*(Inputs!$B$25/14)*Inputs!$B$5+VLOOKUP("25",Inputs!$A$29:$K$33,4,FALSE())*(Inputs!$B$25/14)*Inputs!$B$12+VLOOKUP("25",Inputs!$A$29:$K$33,5,FALSE())*(Inputs!$B$25/14)*Inputs!$B$13)+Inputs!$B$18)+(1-C108)*((INDEX(Inputs!$A$37:$C$37,1,1)*(Inputs!$B$25/14)*Inputs!$B$5+INDEX(Inputs!$A$37:$C$37,1,2)*(Inputs!$B$25/14)*Inputs!$B$12+INDEX(Inputs!$A$37:$C$37,1,3)*(Inputs!$B$25/14)*Inputs!$B$13)))</f>
        <v>326.396874649655</v>
      </c>
      <c r="E108" s="25" t="n">
        <f aca="false">0</f>
        <v>0</v>
      </c>
      <c r="F10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09" customFormat="false" ht="15" hidden="false" customHeight="true" outlineLevel="0" collapsed="false">
      <c r="A109" s="23" t="n">
        <v>5</v>
      </c>
      <c r="B109" s="24" t="b">
        <f aca="false">A109&lt;=Inputs!$B$17</f>
        <v>0</v>
      </c>
      <c r="C109" s="25" t="n">
        <f aca="false">C108*(1-Inputs!$B$22*(0.9^(A109-2)))</f>
        <v>0.173023864629966</v>
      </c>
      <c r="D109" s="26" t="n">
        <f aca="false">IF(B109,C109*(VLOOKUP("25",Inputs!$A$29:$K$33,3,FALSE())*(Inputs!$B$25/14)*Inputs!$B$5+VLOOKUP("25",Inputs!$A$29:$K$33,4,FALSE())*(Inputs!$B$25/14)*Inputs!$B$12+VLOOKUP("25",Inputs!$A$29:$K$33,5,FALSE())*(Inputs!$B$25/14)*Inputs!$B$13)+(1-C109)*(VLOOKUP("25",Inputs!$A$29:$K$33,6,FALSE())*(Inputs!$B$25/14)*Inputs!$B$5+VLOOKUP("25",Inputs!$A$29:$K$33,7,FALSE())*(Inputs!$B$25/14)*Inputs!$B$12+VLOOKUP("25",Inputs!$A$29:$K$33,8,FALSE())*(Inputs!$B$25/14)*Inputs!$B$13),C109*((VLOOKUP("25",Inputs!$A$29:$K$33,3,FALSE())*(Inputs!$B$25/14)*Inputs!$B$5+VLOOKUP("25",Inputs!$A$29:$K$33,4,FALSE())*(Inputs!$B$25/14)*Inputs!$B$12+VLOOKUP("25",Inputs!$A$29:$K$33,5,FALSE())*(Inputs!$B$25/14)*Inputs!$B$13)+Inputs!$B$18)+(1-C109)*((INDEX(Inputs!$A$37:$C$37,1,1)*(Inputs!$B$25/14)*Inputs!$B$5+INDEX(Inputs!$A$37:$C$37,1,2)*(Inputs!$B$25/14)*Inputs!$B$12+INDEX(Inputs!$A$37:$C$37,1,3)*(Inputs!$B$25/14)*Inputs!$B$13)))</f>
        <v>326.667849576878</v>
      </c>
      <c r="E109" s="25" t="n">
        <f aca="false">0</f>
        <v>0</v>
      </c>
      <c r="F10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0" customFormat="false" ht="15" hidden="false" customHeight="true" outlineLevel="0" collapsed="false">
      <c r="A110" s="23" t="n">
        <v>6</v>
      </c>
      <c r="B110" s="24" t="b">
        <f aca="false">A110&lt;=Inputs!$B$17</f>
        <v>0</v>
      </c>
      <c r="C110" s="25" t="n">
        <f aca="false">C109*(1-Inputs!$B$22*(0.9^(A110-2)))</f>
        <v>0.137832367779013</v>
      </c>
      <c r="D110" s="26" t="n">
        <f aca="false">IF(B110,C110*(VLOOKUP("25",Inputs!$A$29:$K$33,3,FALSE())*(Inputs!$B$25/14)*Inputs!$B$5+VLOOKUP("25",Inputs!$A$29:$K$33,4,FALSE())*(Inputs!$B$25/14)*Inputs!$B$12+VLOOKUP("25",Inputs!$A$29:$K$33,5,FALSE())*(Inputs!$B$25/14)*Inputs!$B$13)+(1-C110)*(VLOOKUP("25",Inputs!$A$29:$K$33,6,FALSE())*(Inputs!$B$25/14)*Inputs!$B$5+VLOOKUP("25",Inputs!$A$29:$K$33,7,FALSE())*(Inputs!$B$25/14)*Inputs!$B$12+VLOOKUP("25",Inputs!$A$29:$K$33,8,FALSE())*(Inputs!$B$25/14)*Inputs!$B$13),C110*((VLOOKUP("25",Inputs!$A$29:$K$33,3,FALSE())*(Inputs!$B$25/14)*Inputs!$B$5+VLOOKUP("25",Inputs!$A$29:$K$33,4,FALSE())*(Inputs!$B$25/14)*Inputs!$B$12+VLOOKUP("25",Inputs!$A$29:$K$33,5,FALSE())*(Inputs!$B$25/14)*Inputs!$B$13)+Inputs!$B$18)+(1-C110)*((INDEX(Inputs!$A$37:$C$37,1,1)*(Inputs!$B$25/14)*Inputs!$B$5+INDEX(Inputs!$A$37:$C$37,1,2)*(Inputs!$B$25/14)*Inputs!$B$12+INDEX(Inputs!$A$37:$C$37,1,3)*(Inputs!$B$25/14)*Inputs!$B$13)))</f>
        <v>326.856613149955</v>
      </c>
      <c r="E110" s="25" t="n">
        <f aca="false">0</f>
        <v>0</v>
      </c>
      <c r="F11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1" customFormat="false" ht="15" hidden="false" customHeight="true" outlineLevel="0" collapsed="false">
      <c r="A111" s="23" t="n">
        <v>7</v>
      </c>
      <c r="B111" s="24" t="b">
        <f aca="false">A111&lt;=Inputs!$B$17</f>
        <v>0</v>
      </c>
      <c r="C111" s="25" t="n">
        <f aca="false">C110*(1-Inputs!$B$22*(0.9^(A111-2)))</f>
        <v>0.112601890975566</v>
      </c>
      <c r="D111" s="26" t="n">
        <f aca="false">IF(B111,C111*(VLOOKUP("25",Inputs!$A$29:$K$33,3,FALSE())*(Inputs!$B$25/14)*Inputs!$B$5+VLOOKUP("25",Inputs!$A$29:$K$33,4,FALSE())*(Inputs!$B$25/14)*Inputs!$B$12+VLOOKUP("25",Inputs!$A$29:$K$33,5,FALSE())*(Inputs!$B$25/14)*Inputs!$B$13)+(1-C111)*(VLOOKUP("25",Inputs!$A$29:$K$33,6,FALSE())*(Inputs!$B$25/14)*Inputs!$B$5+VLOOKUP("25",Inputs!$A$29:$K$33,7,FALSE())*(Inputs!$B$25/14)*Inputs!$B$12+VLOOKUP("25",Inputs!$A$29:$K$33,8,FALSE())*(Inputs!$B$25/14)*Inputs!$B$13),C111*((VLOOKUP("25",Inputs!$A$29:$K$33,3,FALSE())*(Inputs!$B$25/14)*Inputs!$B$5+VLOOKUP("25",Inputs!$A$29:$K$33,4,FALSE())*(Inputs!$B$25/14)*Inputs!$B$12+VLOOKUP("25",Inputs!$A$29:$K$33,5,FALSE())*(Inputs!$B$25/14)*Inputs!$B$13)+Inputs!$B$18)+(1-C111)*((INDEX(Inputs!$A$37:$C$37,1,1)*(Inputs!$B$25/14)*Inputs!$B$5+INDEX(Inputs!$A$37:$C$37,1,2)*(Inputs!$B$25/14)*Inputs!$B$12+INDEX(Inputs!$A$37:$C$37,1,3)*(Inputs!$B$25/14)*Inputs!$B$13)))</f>
        <v>326.991946835022</v>
      </c>
      <c r="E111" s="25" t="n">
        <f aca="false">0</f>
        <v>0</v>
      </c>
      <c r="F11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2" customFormat="false" ht="15" hidden="false" customHeight="true" outlineLevel="0" collapsed="false">
      <c r="A112" s="23" t="n">
        <v>8</v>
      </c>
      <c r="B112" s="24" t="b">
        <f aca="false">A112&lt;=Inputs!$B$17</f>
        <v>0</v>
      </c>
      <c r="C112" s="25" t="n">
        <f aca="false">C111*(1-Inputs!$B$22*(0.9^(A112-2)))</f>
        <v>0.0940510998975624</v>
      </c>
      <c r="D112" s="26" t="n">
        <f aca="false">IF(B112,C112*(VLOOKUP("25",Inputs!$A$29:$K$33,3,FALSE())*(Inputs!$B$25/14)*Inputs!$B$5+VLOOKUP("25",Inputs!$A$29:$K$33,4,FALSE())*(Inputs!$B$25/14)*Inputs!$B$12+VLOOKUP("25",Inputs!$A$29:$K$33,5,FALSE())*(Inputs!$B$25/14)*Inputs!$B$13)+(1-C112)*(VLOOKUP("25",Inputs!$A$29:$K$33,6,FALSE())*(Inputs!$B$25/14)*Inputs!$B$5+VLOOKUP("25",Inputs!$A$29:$K$33,7,FALSE())*(Inputs!$B$25/14)*Inputs!$B$12+VLOOKUP("25",Inputs!$A$29:$K$33,8,FALSE())*(Inputs!$B$25/14)*Inputs!$B$13),C112*((VLOOKUP("25",Inputs!$A$29:$K$33,3,FALSE())*(Inputs!$B$25/14)*Inputs!$B$5+VLOOKUP("25",Inputs!$A$29:$K$33,4,FALSE())*(Inputs!$B$25/14)*Inputs!$B$12+VLOOKUP("25",Inputs!$A$29:$K$33,5,FALSE())*(Inputs!$B$25/14)*Inputs!$B$13)+Inputs!$B$18)+(1-C112)*((INDEX(Inputs!$A$37:$C$37,1,1)*(Inputs!$B$25/14)*Inputs!$B$5+INDEX(Inputs!$A$37:$C$37,1,2)*(Inputs!$B$25/14)*Inputs!$B$12+INDEX(Inputs!$A$37:$C$37,1,3)*(Inputs!$B$25/14)*Inputs!$B$13)))</f>
        <v>327.091451372216</v>
      </c>
      <c r="E112" s="25" t="n">
        <f aca="false">0</f>
        <v>0</v>
      </c>
      <c r="F11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3" customFormat="false" ht="15" hidden="false" customHeight="true" outlineLevel="0" collapsed="false">
      <c r="A113" s="23" t="n">
        <v>9</v>
      </c>
      <c r="B113" s="24" t="b">
        <f aca="false">A113&lt;=Inputs!$B$17</f>
        <v>0</v>
      </c>
      <c r="C113" s="25" t="n">
        <f aca="false">C112*(1-Inputs!$B$22*(0.9^(A113-2)))</f>
        <v>0.0801059515455582</v>
      </c>
      <c r="D113" s="26" t="n">
        <f aca="false">IF(B113,C113*(VLOOKUP("25",Inputs!$A$29:$K$33,3,FALSE())*(Inputs!$B$25/14)*Inputs!$B$5+VLOOKUP("25",Inputs!$A$29:$K$33,4,FALSE())*(Inputs!$B$25/14)*Inputs!$B$12+VLOOKUP("25",Inputs!$A$29:$K$33,5,FALSE())*(Inputs!$B$25/14)*Inputs!$B$13)+(1-C113)*(VLOOKUP("25",Inputs!$A$29:$K$33,6,FALSE())*(Inputs!$B$25/14)*Inputs!$B$5+VLOOKUP("25",Inputs!$A$29:$K$33,7,FALSE())*(Inputs!$B$25/14)*Inputs!$B$12+VLOOKUP("25",Inputs!$A$29:$K$33,8,FALSE())*(Inputs!$B$25/14)*Inputs!$B$13),C113*((VLOOKUP("25",Inputs!$A$29:$K$33,3,FALSE())*(Inputs!$B$25/14)*Inputs!$B$5+VLOOKUP("25",Inputs!$A$29:$K$33,4,FALSE())*(Inputs!$B$25/14)*Inputs!$B$12+VLOOKUP("25",Inputs!$A$29:$K$33,5,FALSE())*(Inputs!$B$25/14)*Inputs!$B$13)+Inputs!$B$18)+(1-C113)*((INDEX(Inputs!$A$37:$C$37,1,1)*(Inputs!$B$25/14)*Inputs!$B$5+INDEX(Inputs!$A$37:$C$37,1,2)*(Inputs!$B$25/14)*Inputs!$B$12+INDEX(Inputs!$A$37:$C$37,1,3)*(Inputs!$B$25/14)*Inputs!$B$13)))</f>
        <v>327.16625171507</v>
      </c>
      <c r="E113" s="25" t="n">
        <f aca="false">0</f>
        <v>0</v>
      </c>
      <c r="F11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4" customFormat="false" ht="15" hidden="false" customHeight="true" outlineLevel="0" collapsed="false">
      <c r="A114" s="23" t="n">
        <v>10</v>
      </c>
      <c r="B114" s="24" t="b">
        <f aca="false">A114&lt;=Inputs!$B$17</f>
        <v>0</v>
      </c>
      <c r="C114" s="25" t="n">
        <f aca="false">C113*(1-Inputs!$B$22*(0.9^(A114-2)))</f>
        <v>0.0694162260510326</v>
      </c>
      <c r="D114" s="26" t="n">
        <f aca="false">IF(B114,C114*(VLOOKUP("25",Inputs!$A$29:$K$33,3,FALSE())*(Inputs!$B$25/14)*Inputs!$B$5+VLOOKUP("25",Inputs!$A$29:$K$33,4,FALSE())*(Inputs!$B$25/14)*Inputs!$B$12+VLOOKUP("25",Inputs!$A$29:$K$33,5,FALSE())*(Inputs!$B$25/14)*Inputs!$B$13)+(1-C114)*(VLOOKUP("25",Inputs!$A$29:$K$33,6,FALSE())*(Inputs!$B$25/14)*Inputs!$B$5+VLOOKUP("25",Inputs!$A$29:$K$33,7,FALSE())*(Inputs!$B$25/14)*Inputs!$B$12+VLOOKUP("25",Inputs!$A$29:$K$33,8,FALSE())*(Inputs!$B$25/14)*Inputs!$B$13),C114*((VLOOKUP("25",Inputs!$A$29:$K$33,3,FALSE())*(Inputs!$B$25/14)*Inputs!$B$5+VLOOKUP("25",Inputs!$A$29:$K$33,4,FALSE())*(Inputs!$B$25/14)*Inputs!$B$12+VLOOKUP("25",Inputs!$A$29:$K$33,5,FALSE())*(Inputs!$B$25/14)*Inputs!$B$13)+Inputs!$B$18)+(1-C114)*((INDEX(Inputs!$A$37:$C$37,1,1)*(Inputs!$B$25/14)*Inputs!$B$5+INDEX(Inputs!$A$37:$C$37,1,2)*(Inputs!$B$25/14)*Inputs!$B$12+INDEX(Inputs!$A$37:$C$37,1,3)*(Inputs!$B$25/14)*Inputs!$B$13)))</f>
        <v>327.223590304222</v>
      </c>
      <c r="E114" s="25" t="n">
        <f aca="false">0</f>
        <v>0</v>
      </c>
      <c r="F11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5" customFormat="false" ht="15" hidden="false" customHeight="true" outlineLevel="0" collapsed="false">
      <c r="A115" s="23" t="n">
        <v>11</v>
      </c>
      <c r="B115" s="24" t="b">
        <f aca="false">A115&lt;=Inputs!$B$17</f>
        <v>0</v>
      </c>
      <c r="C115" s="25" t="n">
        <f aca="false">C114*(1-Inputs!$B$22*(0.9^(A115-2)))</f>
        <v>0.0610793128962526</v>
      </c>
      <c r="D115" s="26" t="n">
        <f aca="false">IF(B115,C115*(VLOOKUP("25",Inputs!$A$29:$K$33,3,FALSE())*(Inputs!$B$25/14)*Inputs!$B$5+VLOOKUP("25",Inputs!$A$29:$K$33,4,FALSE())*(Inputs!$B$25/14)*Inputs!$B$12+VLOOKUP("25",Inputs!$A$29:$K$33,5,FALSE())*(Inputs!$B$25/14)*Inputs!$B$13)+(1-C115)*(VLOOKUP("25",Inputs!$A$29:$K$33,6,FALSE())*(Inputs!$B$25/14)*Inputs!$B$5+VLOOKUP("25",Inputs!$A$29:$K$33,7,FALSE())*(Inputs!$B$25/14)*Inputs!$B$12+VLOOKUP("25",Inputs!$A$29:$K$33,8,FALSE())*(Inputs!$B$25/14)*Inputs!$B$13),C115*((VLOOKUP("25",Inputs!$A$29:$K$33,3,FALSE())*(Inputs!$B$25/14)*Inputs!$B$5+VLOOKUP("25",Inputs!$A$29:$K$33,4,FALSE())*(Inputs!$B$25/14)*Inputs!$B$12+VLOOKUP("25",Inputs!$A$29:$K$33,5,FALSE())*(Inputs!$B$25/14)*Inputs!$B$13)+Inputs!$B$18)+(1-C115)*((INDEX(Inputs!$A$37:$C$37,1,1)*(Inputs!$B$25/14)*Inputs!$B$5+INDEX(Inputs!$A$37:$C$37,1,2)*(Inputs!$B$25/14)*Inputs!$B$12+INDEX(Inputs!$A$37:$C$37,1,3)*(Inputs!$B$25/14)*Inputs!$B$13)))</f>
        <v>327.268308649741</v>
      </c>
      <c r="E115" s="25" t="n">
        <f aca="false">0</f>
        <v>0</v>
      </c>
      <c r="F11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6" customFormat="false" ht="15" hidden="false" customHeight="true" outlineLevel="0" collapsed="false">
      <c r="A116" s="23" t="n">
        <v>12</v>
      </c>
      <c r="B116" s="24" t="b">
        <f aca="false">A116&lt;=Inputs!$B$17</f>
        <v>0</v>
      </c>
      <c r="C116" s="25" t="n">
        <f aca="false">C115*(1-Inputs!$B$22*(0.9^(A116-2)))</f>
        <v>0.0544772306379086</v>
      </c>
      <c r="D116" s="26" t="n">
        <f aca="false">IF(B116,C116*(VLOOKUP("25",Inputs!$A$29:$K$33,3,FALSE())*(Inputs!$B$25/14)*Inputs!$B$5+VLOOKUP("25",Inputs!$A$29:$K$33,4,FALSE())*(Inputs!$B$25/14)*Inputs!$B$12+VLOOKUP("25",Inputs!$A$29:$K$33,5,FALSE())*(Inputs!$B$25/14)*Inputs!$B$13)+(1-C116)*(VLOOKUP("25",Inputs!$A$29:$K$33,6,FALSE())*(Inputs!$B$25/14)*Inputs!$B$5+VLOOKUP("25",Inputs!$A$29:$K$33,7,FALSE())*(Inputs!$B$25/14)*Inputs!$B$12+VLOOKUP("25",Inputs!$A$29:$K$33,8,FALSE())*(Inputs!$B$25/14)*Inputs!$B$13),C116*((VLOOKUP("25",Inputs!$A$29:$K$33,3,FALSE())*(Inputs!$B$25/14)*Inputs!$B$5+VLOOKUP("25",Inputs!$A$29:$K$33,4,FALSE())*(Inputs!$B$25/14)*Inputs!$B$12+VLOOKUP("25",Inputs!$A$29:$K$33,5,FALSE())*(Inputs!$B$25/14)*Inputs!$B$13)+Inputs!$B$18)+(1-C116)*((INDEX(Inputs!$A$37:$C$37,1,1)*(Inputs!$B$25/14)*Inputs!$B$5+INDEX(Inputs!$A$37:$C$37,1,2)*(Inputs!$B$25/14)*Inputs!$B$12+INDEX(Inputs!$A$37:$C$37,1,3)*(Inputs!$B$25/14)*Inputs!$B$13)))</f>
        <v>327.303721540592</v>
      </c>
      <c r="E116" s="25" t="n">
        <f aca="false">0</f>
        <v>0</v>
      </c>
      <c r="F11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17" customFormat="false" ht="15" hidden="false" customHeight="true" outlineLevel="0" collapsed="false">
      <c r="A117" s="27" t="s">
        <v>125</v>
      </c>
      <c r="D117" s="28" t="n">
        <f aca="false">SUM(D105:D116)</f>
        <v>3601.74638628976</v>
      </c>
      <c r="F117" s="28" t="n">
        <f aca="false">SUM(F105:F116)</f>
        <v>3913.41431155826</v>
      </c>
    </row>
    <row r="119" customFormat="false" ht="15" hidden="false" customHeight="true" outlineLevel="0" collapsed="false">
      <c r="A119" s="27" t="s">
        <v>154</v>
      </c>
    </row>
    <row r="120" customFormat="false" ht="21.75" hidden="false" customHeight="true" outlineLevel="0" collapsed="false">
      <c r="A120" s="43" t="s">
        <v>92</v>
      </c>
      <c r="B120" s="43" t="s">
        <v>145</v>
      </c>
      <c r="C120" s="43" t="s">
        <v>146</v>
      </c>
      <c r="D120" s="43" t="s">
        <v>147</v>
      </c>
      <c r="E120" s="43" t="s">
        <v>148</v>
      </c>
      <c r="F120" s="43" t="s">
        <v>149</v>
      </c>
    </row>
    <row r="121" customFormat="false" ht="15" hidden="false" customHeight="true" outlineLevel="0" collapsed="false">
      <c r="A121" s="23" t="n">
        <v>1</v>
      </c>
      <c r="B121" s="24" t="b">
        <f aca="false">A121&lt;=Inputs!$B$17</f>
        <v>1</v>
      </c>
      <c r="C121" s="25" t="n">
        <f aca="false">VLOOKUP("25",Inputs!$A$29:$K$33,2,FALSE())</f>
        <v>0.6</v>
      </c>
      <c r="D121" s="26" t="n">
        <f aca="false">IF(B121,C121*(VLOOKUP("25",Inputs!$A$29:$K$33,3,FALSE())*(Inputs!$B$25/14)*Inputs!$B$5+VLOOKUP("25",Inputs!$A$29:$K$33,4,FALSE())*(Inputs!$B$25/14)*Inputs!$B$12+VLOOKUP("25",Inputs!$A$29:$K$33,5,FALSE())*(Inputs!$B$25/14)*Inputs!$B$13)+(1-C121)*(VLOOKUP("25",Inputs!$A$29:$K$33,6,FALSE())*(Inputs!$B$25/14)*Inputs!$B$5+VLOOKUP("25",Inputs!$A$29:$K$33,7,FALSE())*(Inputs!$B$25/14)*Inputs!$B$12+VLOOKUP("25",Inputs!$A$29:$K$33,8,FALSE())*(Inputs!$B$25/14)*Inputs!$B$13),C121*((VLOOKUP("25",Inputs!$A$29:$K$33,3,FALSE())*(Inputs!$B$25/14)*Inputs!$B$5+VLOOKUP("25",Inputs!$A$29:$K$33,4,FALSE())*(Inputs!$B$25/14)*Inputs!$B$12+VLOOKUP("25",Inputs!$A$29:$K$33,5,FALSE())*(Inputs!$B$25/14)*Inputs!$B$13)+Inputs!$B$18)+(1-C121)*((VLOOKUP("25",Inputs!$A$29:$K$33,9,FALSE())*(Inputs!$B$25/14)*Inputs!$B$5+VLOOKUP("25",Inputs!$A$29:$K$33,10,FALSE())*(Inputs!$B$25/14)*Inputs!$B$12+VLOOKUP("25",Inputs!$A$29:$K$33,11,FALSE())*(Inputs!$B$25/14)*Inputs!$B$13)))</f>
        <v>189.059008761607</v>
      </c>
      <c r="E121" s="25" t="n">
        <f aca="false">Inputs!$B$21</f>
        <v>0.083</v>
      </c>
      <c r="F121" s="26" t="n">
        <f aca="false">E121*(VLOOKUP("25",Inputs!$A$29:$K$33,3,FALSE())*(Inputs!$B$25/14)*Inputs!$B$5+VLOOKUP("25",Inputs!$A$29:$K$33,4,FALSE())*(Inputs!$B$25/14)*Inputs!$B$12+VLOOKUP("25",Inputs!$A$29:$K$33,5,FALSE())*(Inputs!$B$25/14)*Inputs!$B$13)+(1-E121)*(INDEX(Inputs!$A$37:$C$37,1,1)*(Inputs!$B$25/14)*Inputs!$B$5+INDEX(Inputs!$A$37:$C$37,1,2)*(Inputs!$B$25/14)*Inputs!$B$12+INDEX(Inputs!$A$37:$C$37,1,3)*(Inputs!$B$25/14)*Inputs!$B$13)</f>
        <v>309.859061669866</v>
      </c>
    </row>
    <row r="122" customFormat="false" ht="15" hidden="false" customHeight="true" outlineLevel="0" collapsed="false">
      <c r="A122" s="23" t="n">
        <v>2</v>
      </c>
      <c r="B122" s="24" t="b">
        <f aca="false">A122&lt;=Inputs!$B$17</f>
        <v>1</v>
      </c>
      <c r="C122" s="25" t="n">
        <f aca="false">C121*(1-Inputs!$B$22*(0.9^(A122-2)))</f>
        <v>0.414</v>
      </c>
      <c r="D122" s="26" t="n">
        <f aca="false">IF(B122,C122*(VLOOKUP("25",Inputs!$A$29:$K$33,3,FALSE())*(Inputs!$B$25/14)*Inputs!$B$5+VLOOKUP("25",Inputs!$A$29:$K$33,4,FALSE())*(Inputs!$B$25/14)*Inputs!$B$12+VLOOKUP("25",Inputs!$A$29:$K$33,5,FALSE())*(Inputs!$B$25/14)*Inputs!$B$13)+(1-C122)*(VLOOKUP("25",Inputs!$A$29:$K$33,6,FALSE())*(Inputs!$B$25/14)*Inputs!$B$5+VLOOKUP("25",Inputs!$A$29:$K$33,7,FALSE())*(Inputs!$B$25/14)*Inputs!$B$12+VLOOKUP("25",Inputs!$A$29:$K$33,8,FALSE())*(Inputs!$B$25/14)*Inputs!$B$13),C122*((VLOOKUP("25",Inputs!$A$29:$K$33,3,FALSE())*(Inputs!$B$25/14)*Inputs!$B$5+VLOOKUP("25",Inputs!$A$29:$K$33,4,FALSE())*(Inputs!$B$25/14)*Inputs!$B$12+VLOOKUP("25",Inputs!$A$29:$K$33,5,FALSE())*(Inputs!$B$25/14)*Inputs!$B$13)+Inputs!$B$18)+(1-C122)*((VLOOKUP("25",Inputs!$A$29:$K$33,9,FALSE())*(Inputs!$B$25/14)*Inputs!$B$5+VLOOKUP("25",Inputs!$A$29:$K$33,10,FALSE())*(Inputs!$B$25/14)*Inputs!$B$12+VLOOKUP("25",Inputs!$A$29:$K$33,11,FALSE())*(Inputs!$B$25/14)*Inputs!$B$13)))</f>
        <v>224.008551764884</v>
      </c>
      <c r="E122" s="25" t="n">
        <f aca="false">0</f>
        <v>0</v>
      </c>
      <c r="F12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3" customFormat="false" ht="15" hidden="false" customHeight="true" outlineLevel="0" collapsed="false">
      <c r="A123" s="23" t="n">
        <v>3</v>
      </c>
      <c r="B123" s="24" t="b">
        <f aca="false">A123&lt;=Inputs!$B$17</f>
        <v>1</v>
      </c>
      <c r="C123" s="25" t="n">
        <f aca="false">C122*(1-Inputs!$B$22*(0.9^(A123-2)))</f>
        <v>0.298494</v>
      </c>
      <c r="D123" s="26" t="n">
        <f aca="false">IF(B123,C123*(VLOOKUP("25",Inputs!$A$29:$K$33,3,FALSE())*(Inputs!$B$25/14)*Inputs!$B$5+VLOOKUP("25",Inputs!$A$29:$K$33,4,FALSE())*(Inputs!$B$25/14)*Inputs!$B$12+VLOOKUP("25",Inputs!$A$29:$K$33,5,FALSE())*(Inputs!$B$25/14)*Inputs!$B$13)+(1-C123)*(VLOOKUP("25",Inputs!$A$29:$K$33,6,FALSE())*(Inputs!$B$25/14)*Inputs!$B$5+VLOOKUP("25",Inputs!$A$29:$K$33,7,FALSE())*(Inputs!$B$25/14)*Inputs!$B$12+VLOOKUP("25",Inputs!$A$29:$K$33,8,FALSE())*(Inputs!$B$25/14)*Inputs!$B$13),C123*((VLOOKUP("25",Inputs!$A$29:$K$33,3,FALSE())*(Inputs!$B$25/14)*Inputs!$B$5+VLOOKUP("25",Inputs!$A$29:$K$33,4,FALSE())*(Inputs!$B$25/14)*Inputs!$B$12+VLOOKUP("25",Inputs!$A$29:$K$33,5,FALSE())*(Inputs!$B$25/14)*Inputs!$B$13)+Inputs!$B$18)+(1-C123)*((VLOOKUP("25",Inputs!$A$29:$K$33,9,FALSE())*(Inputs!$B$25/14)*Inputs!$B$5+VLOOKUP("25",Inputs!$A$29:$K$33,10,FALSE())*(Inputs!$B$25/14)*Inputs!$B$12+VLOOKUP("25",Inputs!$A$29:$K$33,11,FALSE())*(Inputs!$B$25/14)*Inputs!$B$13)))</f>
        <v>245.712217969919</v>
      </c>
      <c r="E123" s="25" t="n">
        <f aca="false">0</f>
        <v>0</v>
      </c>
      <c r="F12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4" customFormat="false" ht="15" hidden="false" customHeight="true" outlineLevel="0" collapsed="false">
      <c r="A124" s="23" t="n">
        <v>4</v>
      </c>
      <c r="B124" s="24" t="b">
        <f aca="false">A124&lt;=Inputs!$B$17</f>
        <v>0</v>
      </c>
      <c r="C124" s="25" t="n">
        <f aca="false">C123*(1-Inputs!$B$22*(0.9^(A124-2)))</f>
        <v>0.2235421566</v>
      </c>
      <c r="D124" s="26" t="n">
        <f aca="false">IF(B124,C124*(VLOOKUP("25",Inputs!$A$29:$K$33,3,FALSE())*(Inputs!$B$25/14)*Inputs!$B$5+VLOOKUP("25",Inputs!$A$29:$K$33,4,FALSE())*(Inputs!$B$25/14)*Inputs!$B$12+VLOOKUP("25",Inputs!$A$29:$K$33,5,FALSE())*(Inputs!$B$25/14)*Inputs!$B$13)+(1-C124)*(VLOOKUP("25",Inputs!$A$29:$K$33,6,FALSE())*(Inputs!$B$25/14)*Inputs!$B$5+VLOOKUP("25",Inputs!$A$29:$K$33,7,FALSE())*(Inputs!$B$25/14)*Inputs!$B$12+VLOOKUP("25",Inputs!$A$29:$K$33,8,FALSE())*(Inputs!$B$25/14)*Inputs!$B$13),C124*((VLOOKUP("25",Inputs!$A$29:$K$33,3,FALSE())*(Inputs!$B$25/14)*Inputs!$B$5+VLOOKUP("25",Inputs!$A$29:$K$33,4,FALSE())*(Inputs!$B$25/14)*Inputs!$B$12+VLOOKUP("25",Inputs!$A$29:$K$33,5,FALSE())*(Inputs!$B$25/14)*Inputs!$B$13)+Inputs!$B$18)+(1-C124)*((VLOOKUP("25",Inputs!$A$29:$K$33,9,FALSE())*(Inputs!$B$25/14)*Inputs!$B$5+VLOOKUP("25",Inputs!$A$29:$K$33,10,FALSE())*(Inputs!$B$25/14)*Inputs!$B$12+VLOOKUP("25",Inputs!$A$29:$K$33,11,FALSE())*(Inputs!$B$25/14)*Inputs!$B$13)))</f>
        <v>255.753846468534</v>
      </c>
      <c r="E124" s="25" t="n">
        <f aca="false">0</f>
        <v>0</v>
      </c>
      <c r="F12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5" customFormat="false" ht="15" hidden="false" customHeight="true" outlineLevel="0" collapsed="false">
      <c r="A125" s="23" t="n">
        <v>5</v>
      </c>
      <c r="B125" s="24" t="b">
        <f aca="false">A125&lt;=Inputs!$B$17</f>
        <v>0</v>
      </c>
      <c r="C125" s="25" t="n">
        <f aca="false">C124*(1-Inputs!$B$22*(0.9^(A125-2)))</f>
        <v>0.173023864629966</v>
      </c>
      <c r="D125" s="26" t="n">
        <f aca="false">IF(B125,C125*(VLOOKUP("25",Inputs!$A$29:$K$33,3,FALSE())*(Inputs!$B$25/14)*Inputs!$B$5+VLOOKUP("25",Inputs!$A$29:$K$33,4,FALSE())*(Inputs!$B$25/14)*Inputs!$B$12+VLOOKUP("25",Inputs!$A$29:$K$33,5,FALSE())*(Inputs!$B$25/14)*Inputs!$B$13)+(1-C125)*(VLOOKUP("25",Inputs!$A$29:$K$33,6,FALSE())*(Inputs!$B$25/14)*Inputs!$B$5+VLOOKUP("25",Inputs!$A$29:$K$33,7,FALSE())*(Inputs!$B$25/14)*Inputs!$B$12+VLOOKUP("25",Inputs!$A$29:$K$33,8,FALSE())*(Inputs!$B$25/14)*Inputs!$B$13),C125*((VLOOKUP("25",Inputs!$A$29:$K$33,3,FALSE())*(Inputs!$B$25/14)*Inputs!$B$5+VLOOKUP("25",Inputs!$A$29:$K$33,4,FALSE())*(Inputs!$B$25/14)*Inputs!$B$12+VLOOKUP("25",Inputs!$A$29:$K$33,5,FALSE())*(Inputs!$B$25/14)*Inputs!$B$13)+Inputs!$B$18)+(1-C125)*((VLOOKUP("25",Inputs!$A$29:$K$33,9,FALSE())*(Inputs!$B$25/14)*Inputs!$B$5+VLOOKUP("25",Inputs!$A$29:$K$33,10,FALSE())*(Inputs!$B$25/14)*Inputs!$B$12+VLOOKUP("25",Inputs!$A$29:$K$33,11,FALSE())*(Inputs!$B$25/14)*Inputs!$B$13)))</f>
        <v>251.428609053211</v>
      </c>
      <c r="E125" s="25" t="n">
        <f aca="false">0</f>
        <v>0</v>
      </c>
      <c r="F12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6" customFormat="false" ht="15" hidden="false" customHeight="true" outlineLevel="0" collapsed="false">
      <c r="A126" s="23" t="n">
        <v>6</v>
      </c>
      <c r="B126" s="24" t="b">
        <f aca="false">A126&lt;=Inputs!$B$17</f>
        <v>0</v>
      </c>
      <c r="C126" s="25" t="n">
        <f aca="false">C125*(1-Inputs!$B$22*(0.9^(A126-2)))</f>
        <v>0.137832367779013</v>
      </c>
      <c r="D126" s="26" t="n">
        <f aca="false">IF(B126,C126*(VLOOKUP("25",Inputs!$A$29:$K$33,3,FALSE())*(Inputs!$B$25/14)*Inputs!$B$5+VLOOKUP("25",Inputs!$A$29:$K$33,4,FALSE())*(Inputs!$B$25/14)*Inputs!$B$12+VLOOKUP("25",Inputs!$A$29:$K$33,5,FALSE())*(Inputs!$B$25/14)*Inputs!$B$13)+(1-C126)*(VLOOKUP("25",Inputs!$A$29:$K$33,6,FALSE())*(Inputs!$B$25/14)*Inputs!$B$5+VLOOKUP("25",Inputs!$A$29:$K$33,7,FALSE())*(Inputs!$B$25/14)*Inputs!$B$12+VLOOKUP("25",Inputs!$A$29:$K$33,8,FALSE())*(Inputs!$B$25/14)*Inputs!$B$13),C126*((VLOOKUP("25",Inputs!$A$29:$K$33,3,FALSE())*(Inputs!$B$25/14)*Inputs!$B$5+VLOOKUP("25",Inputs!$A$29:$K$33,4,FALSE())*(Inputs!$B$25/14)*Inputs!$B$12+VLOOKUP("25",Inputs!$A$29:$K$33,5,FALSE())*(Inputs!$B$25/14)*Inputs!$B$13)+Inputs!$B$18)+(1-C126)*((VLOOKUP("25",Inputs!$A$29:$K$33,9,FALSE())*(Inputs!$B$25/14)*Inputs!$B$5+VLOOKUP("25",Inputs!$A$29:$K$33,10,FALSE())*(Inputs!$B$25/14)*Inputs!$B$12+VLOOKUP("25",Inputs!$A$29:$K$33,11,FALSE())*(Inputs!$B$25/14)*Inputs!$B$13)))</f>
        <v>248.415609742561</v>
      </c>
      <c r="E126" s="25" t="n">
        <f aca="false">0</f>
        <v>0</v>
      </c>
      <c r="F12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7" customFormat="false" ht="15" hidden="false" customHeight="true" outlineLevel="0" collapsed="false">
      <c r="A127" s="23" t="n">
        <v>7</v>
      </c>
      <c r="B127" s="24" t="b">
        <f aca="false">A127&lt;=Inputs!$B$17</f>
        <v>0</v>
      </c>
      <c r="C127" s="25" t="n">
        <f aca="false">C126*(1-Inputs!$B$22*(0.9^(A127-2)))</f>
        <v>0.112601890975566</v>
      </c>
      <c r="D127" s="26" t="n">
        <f aca="false">IF(B127,C127*(VLOOKUP("25",Inputs!$A$29:$K$33,3,FALSE())*(Inputs!$B$25/14)*Inputs!$B$5+VLOOKUP("25",Inputs!$A$29:$K$33,4,FALSE())*(Inputs!$B$25/14)*Inputs!$B$12+VLOOKUP("25",Inputs!$A$29:$K$33,5,FALSE())*(Inputs!$B$25/14)*Inputs!$B$13)+(1-C127)*(VLOOKUP("25",Inputs!$A$29:$K$33,6,FALSE())*(Inputs!$B$25/14)*Inputs!$B$5+VLOOKUP("25",Inputs!$A$29:$K$33,7,FALSE())*(Inputs!$B$25/14)*Inputs!$B$12+VLOOKUP("25",Inputs!$A$29:$K$33,8,FALSE())*(Inputs!$B$25/14)*Inputs!$B$13),C127*((VLOOKUP("25",Inputs!$A$29:$K$33,3,FALSE())*(Inputs!$B$25/14)*Inputs!$B$5+VLOOKUP("25",Inputs!$A$29:$K$33,4,FALSE())*(Inputs!$B$25/14)*Inputs!$B$12+VLOOKUP("25",Inputs!$A$29:$K$33,5,FALSE())*(Inputs!$B$25/14)*Inputs!$B$13)+Inputs!$B$18)+(1-C127)*((VLOOKUP("25",Inputs!$A$29:$K$33,9,FALSE())*(Inputs!$B$25/14)*Inputs!$B$5+VLOOKUP("25",Inputs!$A$29:$K$33,10,FALSE())*(Inputs!$B$25/14)*Inputs!$B$12+VLOOKUP("25",Inputs!$A$29:$K$33,11,FALSE())*(Inputs!$B$25/14)*Inputs!$B$13)))</f>
        <v>246.255445611488</v>
      </c>
      <c r="E127" s="25" t="n">
        <f aca="false">0</f>
        <v>0</v>
      </c>
      <c r="F12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8" customFormat="false" ht="15" hidden="false" customHeight="true" outlineLevel="0" collapsed="false">
      <c r="A128" s="23" t="n">
        <v>8</v>
      </c>
      <c r="B128" s="24" t="b">
        <f aca="false">A128&lt;=Inputs!$B$17</f>
        <v>0</v>
      </c>
      <c r="C128" s="25" t="n">
        <f aca="false">C127*(1-Inputs!$B$22*(0.9^(A128-2)))</f>
        <v>0.0940510998975624</v>
      </c>
      <c r="D128" s="26" t="n">
        <f aca="false">IF(B128,C128*(VLOOKUP("25",Inputs!$A$29:$K$33,3,FALSE())*(Inputs!$B$25/14)*Inputs!$B$5+VLOOKUP("25",Inputs!$A$29:$K$33,4,FALSE())*(Inputs!$B$25/14)*Inputs!$B$12+VLOOKUP("25",Inputs!$A$29:$K$33,5,FALSE())*(Inputs!$B$25/14)*Inputs!$B$13)+(1-C128)*(VLOOKUP("25",Inputs!$A$29:$K$33,6,FALSE())*(Inputs!$B$25/14)*Inputs!$B$5+VLOOKUP("25",Inputs!$A$29:$K$33,7,FALSE())*(Inputs!$B$25/14)*Inputs!$B$12+VLOOKUP("25",Inputs!$A$29:$K$33,8,FALSE())*(Inputs!$B$25/14)*Inputs!$B$13),C128*((VLOOKUP("25",Inputs!$A$29:$K$33,3,FALSE())*(Inputs!$B$25/14)*Inputs!$B$5+VLOOKUP("25",Inputs!$A$29:$K$33,4,FALSE())*(Inputs!$B$25/14)*Inputs!$B$12+VLOOKUP("25",Inputs!$A$29:$K$33,5,FALSE())*(Inputs!$B$25/14)*Inputs!$B$13)+Inputs!$B$18)+(1-C128)*((VLOOKUP("25",Inputs!$A$29:$K$33,9,FALSE())*(Inputs!$B$25/14)*Inputs!$B$5+VLOOKUP("25",Inputs!$A$29:$K$33,10,FALSE())*(Inputs!$B$25/14)*Inputs!$B$12+VLOOKUP("25",Inputs!$A$29:$K$33,11,FALSE())*(Inputs!$B$25/14)*Inputs!$B$13)))</f>
        <v>244.667177827177</v>
      </c>
      <c r="E128" s="25" t="n">
        <f aca="false">0</f>
        <v>0</v>
      </c>
      <c r="F12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29" customFormat="false" ht="15" hidden="false" customHeight="true" outlineLevel="0" collapsed="false">
      <c r="A129" s="23" t="n">
        <v>9</v>
      </c>
      <c r="B129" s="24" t="b">
        <f aca="false">A129&lt;=Inputs!$B$17</f>
        <v>0</v>
      </c>
      <c r="C129" s="25" t="n">
        <f aca="false">C128*(1-Inputs!$B$22*(0.9^(A129-2)))</f>
        <v>0.0801059515455582</v>
      </c>
      <c r="D129" s="26" t="n">
        <f aca="false">IF(B129,C129*(VLOOKUP("25",Inputs!$A$29:$K$33,3,FALSE())*(Inputs!$B$25/14)*Inputs!$B$5+VLOOKUP("25",Inputs!$A$29:$K$33,4,FALSE())*(Inputs!$B$25/14)*Inputs!$B$12+VLOOKUP("25",Inputs!$A$29:$K$33,5,FALSE())*(Inputs!$B$25/14)*Inputs!$B$13)+(1-C129)*(VLOOKUP("25",Inputs!$A$29:$K$33,6,FALSE())*(Inputs!$B$25/14)*Inputs!$B$5+VLOOKUP("25",Inputs!$A$29:$K$33,7,FALSE())*(Inputs!$B$25/14)*Inputs!$B$12+VLOOKUP("25",Inputs!$A$29:$K$33,8,FALSE())*(Inputs!$B$25/14)*Inputs!$B$13),C129*((VLOOKUP("25",Inputs!$A$29:$K$33,3,FALSE())*(Inputs!$B$25/14)*Inputs!$B$5+VLOOKUP("25",Inputs!$A$29:$K$33,4,FALSE())*(Inputs!$B$25/14)*Inputs!$B$12+VLOOKUP("25",Inputs!$A$29:$K$33,5,FALSE())*(Inputs!$B$25/14)*Inputs!$B$13)+Inputs!$B$18)+(1-C129)*((VLOOKUP("25",Inputs!$A$29:$K$33,9,FALSE())*(Inputs!$B$25/14)*Inputs!$B$5+VLOOKUP("25",Inputs!$A$29:$K$33,10,FALSE())*(Inputs!$B$25/14)*Inputs!$B$12+VLOOKUP("25",Inputs!$A$29:$K$33,11,FALSE())*(Inputs!$B$25/14)*Inputs!$B$13)))</f>
        <v>243.473232524156</v>
      </c>
      <c r="E129" s="25" t="n">
        <f aca="false">0</f>
        <v>0</v>
      </c>
      <c r="F12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30" customFormat="false" ht="15" hidden="false" customHeight="true" outlineLevel="0" collapsed="false">
      <c r="A130" s="23" t="n">
        <v>10</v>
      </c>
      <c r="B130" s="24" t="b">
        <f aca="false">A130&lt;=Inputs!$B$17</f>
        <v>0</v>
      </c>
      <c r="C130" s="25" t="n">
        <f aca="false">C129*(1-Inputs!$B$22*(0.9^(A130-2)))</f>
        <v>0.0694162260510326</v>
      </c>
      <c r="D130" s="26" t="n">
        <f aca="false">IF(B130,C130*(VLOOKUP("25",Inputs!$A$29:$K$33,3,FALSE())*(Inputs!$B$25/14)*Inputs!$B$5+VLOOKUP("25",Inputs!$A$29:$K$33,4,FALSE())*(Inputs!$B$25/14)*Inputs!$B$12+VLOOKUP("25",Inputs!$A$29:$K$33,5,FALSE())*(Inputs!$B$25/14)*Inputs!$B$13)+(1-C130)*(VLOOKUP("25",Inputs!$A$29:$K$33,6,FALSE())*(Inputs!$B$25/14)*Inputs!$B$5+VLOOKUP("25",Inputs!$A$29:$K$33,7,FALSE())*(Inputs!$B$25/14)*Inputs!$B$12+VLOOKUP("25",Inputs!$A$29:$K$33,8,FALSE())*(Inputs!$B$25/14)*Inputs!$B$13),C130*((VLOOKUP("25",Inputs!$A$29:$K$33,3,FALSE())*(Inputs!$B$25/14)*Inputs!$B$5+VLOOKUP("25",Inputs!$A$29:$K$33,4,FALSE())*(Inputs!$B$25/14)*Inputs!$B$12+VLOOKUP("25",Inputs!$A$29:$K$33,5,FALSE())*(Inputs!$B$25/14)*Inputs!$B$13)+Inputs!$B$18)+(1-C130)*((VLOOKUP("25",Inputs!$A$29:$K$33,9,FALSE())*(Inputs!$B$25/14)*Inputs!$B$5+VLOOKUP("25",Inputs!$A$29:$K$33,10,FALSE())*(Inputs!$B$25/14)*Inputs!$B$12+VLOOKUP("25",Inputs!$A$29:$K$33,11,FALSE())*(Inputs!$B$25/14)*Inputs!$B$13)))</f>
        <v>242.558007585516</v>
      </c>
      <c r="E130" s="25" t="n">
        <f aca="false">0</f>
        <v>0</v>
      </c>
      <c r="F13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31" customFormat="false" ht="15" hidden="false" customHeight="true" outlineLevel="0" collapsed="false">
      <c r="A131" s="23" t="n">
        <v>11</v>
      </c>
      <c r="B131" s="24" t="b">
        <f aca="false">A131&lt;=Inputs!$B$17</f>
        <v>0</v>
      </c>
      <c r="C131" s="25" t="n">
        <f aca="false">C130*(1-Inputs!$B$22*(0.9^(A131-2)))</f>
        <v>0.0610793128962526</v>
      </c>
      <c r="D131" s="26" t="n">
        <f aca="false">IF(B131,C131*(VLOOKUP("25",Inputs!$A$29:$K$33,3,FALSE())*(Inputs!$B$25/14)*Inputs!$B$5+VLOOKUP("25",Inputs!$A$29:$K$33,4,FALSE())*(Inputs!$B$25/14)*Inputs!$B$12+VLOOKUP("25",Inputs!$A$29:$K$33,5,FALSE())*(Inputs!$B$25/14)*Inputs!$B$13)+(1-C131)*(VLOOKUP("25",Inputs!$A$29:$K$33,6,FALSE())*(Inputs!$B$25/14)*Inputs!$B$5+VLOOKUP("25",Inputs!$A$29:$K$33,7,FALSE())*(Inputs!$B$25/14)*Inputs!$B$12+VLOOKUP("25",Inputs!$A$29:$K$33,8,FALSE())*(Inputs!$B$25/14)*Inputs!$B$13),C131*((VLOOKUP("25",Inputs!$A$29:$K$33,3,FALSE())*(Inputs!$B$25/14)*Inputs!$B$5+VLOOKUP("25",Inputs!$A$29:$K$33,4,FALSE())*(Inputs!$B$25/14)*Inputs!$B$12+VLOOKUP("25",Inputs!$A$29:$K$33,5,FALSE())*(Inputs!$B$25/14)*Inputs!$B$13)+Inputs!$B$18)+(1-C131)*((VLOOKUP("25",Inputs!$A$29:$K$33,9,FALSE())*(Inputs!$B$25/14)*Inputs!$B$5+VLOOKUP("25",Inputs!$A$29:$K$33,10,FALSE())*(Inputs!$B$25/14)*Inputs!$B$12+VLOOKUP("25",Inputs!$A$29:$K$33,11,FALSE())*(Inputs!$B$25/14)*Inputs!$B$13)))</f>
        <v>241.844223977655</v>
      </c>
      <c r="E131" s="25" t="n">
        <f aca="false">0</f>
        <v>0</v>
      </c>
      <c r="F13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32" customFormat="false" ht="15" hidden="false" customHeight="true" outlineLevel="0" collapsed="false">
      <c r="A132" s="23" t="n">
        <v>12</v>
      </c>
      <c r="B132" s="24" t="b">
        <f aca="false">A132&lt;=Inputs!$B$17</f>
        <v>0</v>
      </c>
      <c r="C132" s="25" t="n">
        <f aca="false">C131*(1-Inputs!$B$22*(0.9^(A132-2)))</f>
        <v>0.0544772306379086</v>
      </c>
      <c r="D132" s="26" t="n">
        <f aca="false">IF(B132,C132*(VLOOKUP("25",Inputs!$A$29:$K$33,3,FALSE())*(Inputs!$B$25/14)*Inputs!$B$5+VLOOKUP("25",Inputs!$A$29:$K$33,4,FALSE())*(Inputs!$B$25/14)*Inputs!$B$12+VLOOKUP("25",Inputs!$A$29:$K$33,5,FALSE())*(Inputs!$B$25/14)*Inputs!$B$13)+(1-C132)*(VLOOKUP("25",Inputs!$A$29:$K$33,6,FALSE())*(Inputs!$B$25/14)*Inputs!$B$5+VLOOKUP("25",Inputs!$A$29:$K$33,7,FALSE())*(Inputs!$B$25/14)*Inputs!$B$12+VLOOKUP("25",Inputs!$A$29:$K$33,8,FALSE())*(Inputs!$B$25/14)*Inputs!$B$13),C132*((VLOOKUP("25",Inputs!$A$29:$K$33,3,FALSE())*(Inputs!$B$25/14)*Inputs!$B$5+VLOOKUP("25",Inputs!$A$29:$K$33,4,FALSE())*(Inputs!$B$25/14)*Inputs!$B$12+VLOOKUP("25",Inputs!$A$29:$K$33,5,FALSE())*(Inputs!$B$25/14)*Inputs!$B$13)+Inputs!$B$18)+(1-C132)*((VLOOKUP("25",Inputs!$A$29:$K$33,9,FALSE())*(Inputs!$B$25/14)*Inputs!$B$5+VLOOKUP("25",Inputs!$A$29:$K$33,10,FALSE())*(Inputs!$B$25/14)*Inputs!$B$12+VLOOKUP("25",Inputs!$A$29:$K$33,11,FALSE())*(Inputs!$B$25/14)*Inputs!$B$13)))</f>
        <v>241.278971826617</v>
      </c>
      <c r="E132" s="25" t="n">
        <f aca="false">0</f>
        <v>0</v>
      </c>
      <c r="F13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33" customFormat="false" ht="15" hidden="false" customHeight="true" outlineLevel="0" collapsed="false">
      <c r="A133" s="27" t="s">
        <v>125</v>
      </c>
      <c r="D133" s="28" t="n">
        <f aca="false">SUM(D121:D132)</f>
        <v>2874.45490311333</v>
      </c>
      <c r="F133" s="28" t="n">
        <f aca="false">SUM(F121:F132)</f>
        <v>3913.41431155826</v>
      </c>
    </row>
    <row r="135" customFormat="false" ht="15" hidden="false" customHeight="true" outlineLevel="0" collapsed="false">
      <c r="A135" s="27" t="s">
        <v>155</v>
      </c>
    </row>
    <row r="136" customFormat="false" ht="21.75" hidden="false" customHeight="true" outlineLevel="0" collapsed="false">
      <c r="A136" s="43" t="s">
        <v>92</v>
      </c>
      <c r="B136" s="43" t="s">
        <v>145</v>
      </c>
      <c r="C136" s="43" t="s">
        <v>146</v>
      </c>
      <c r="D136" s="43" t="s">
        <v>147</v>
      </c>
      <c r="E136" s="43" t="s">
        <v>148</v>
      </c>
      <c r="F136" s="43" t="s">
        <v>149</v>
      </c>
    </row>
    <row r="137" customFormat="false" ht="15" hidden="false" customHeight="true" outlineLevel="0" collapsed="false">
      <c r="A137" s="23" t="n">
        <v>1</v>
      </c>
      <c r="B137" s="24" t="b">
        <f aca="false">A137&lt;=Inputs!$B$17</f>
        <v>1</v>
      </c>
      <c r="C137" s="25" t="n">
        <f aca="false">VLOOKUP("40",Inputs!$A$29:$K$33,2,FALSE())</f>
        <v>0.47</v>
      </c>
      <c r="D137" s="26" t="n">
        <f aca="false">IF(B137,C137*(VLOOKUP("40",Inputs!$A$29:$K$33,3,FALSE())*(Inputs!$B$25/14)*Inputs!$B$5+VLOOKUP("40",Inputs!$A$29:$K$33,4,FALSE())*(Inputs!$B$25/14)*Inputs!$B$12+VLOOKUP("40",Inputs!$A$29:$K$33,5,FALSE())*(Inputs!$B$25/14)*Inputs!$B$13)+(1-C137)*(VLOOKUP("40",Inputs!$A$29:$K$33,6,FALSE())*(Inputs!$B$25/14)*Inputs!$B$5+VLOOKUP("40",Inputs!$A$29:$K$33,7,FALSE())*(Inputs!$B$25/14)*Inputs!$B$12+VLOOKUP("40",Inputs!$A$29:$K$33,8,FALSE())*(Inputs!$B$25/14)*Inputs!$B$13),C137*((VLOOKUP("40",Inputs!$A$29:$K$33,3,FALSE())*(Inputs!$B$25/14)*Inputs!$B$5+VLOOKUP("40",Inputs!$A$29:$K$33,4,FALSE())*(Inputs!$B$25/14)*Inputs!$B$12+VLOOKUP("40",Inputs!$A$29:$K$33,5,FALSE())*(Inputs!$B$25/14)*Inputs!$B$13)+Inputs!$B$18)+(1-C137)*((INDEX(Inputs!$A$37:$C$37,1,1)*(Inputs!$B$25/14)*Inputs!$B$5+INDEX(Inputs!$A$37:$C$37,1,2)*(Inputs!$B$25/14)*Inputs!$B$12+INDEX(Inputs!$A$37:$C$37,1,3)*(Inputs!$B$25/14)*Inputs!$B$13)))</f>
        <v>167.543640939866</v>
      </c>
      <c r="E137" s="25" t="n">
        <f aca="false">Inputs!$B$21</f>
        <v>0.083</v>
      </c>
      <c r="F137" s="26" t="n">
        <f aca="false">E137*(VLOOKUP("40",Inputs!$A$29:$K$33,3,FALSE())*(Inputs!$B$25/14)*Inputs!$B$5+VLOOKUP("40",Inputs!$A$29:$K$33,4,FALSE())*(Inputs!$B$25/14)*Inputs!$B$12+VLOOKUP("40",Inputs!$A$29:$K$33,5,FALSE())*(Inputs!$B$25/14)*Inputs!$B$13)+(1-E137)*(INDEX(Inputs!$A$37:$C$37,1,1)*(Inputs!$B$25/14)*Inputs!$B$5+INDEX(Inputs!$A$37:$C$37,1,2)*(Inputs!$B$25/14)*Inputs!$B$12+INDEX(Inputs!$A$37:$C$37,1,3)*(Inputs!$B$25/14)*Inputs!$B$13)</f>
        <v>311.623139673638</v>
      </c>
    </row>
    <row r="138" customFormat="false" ht="15" hidden="false" customHeight="true" outlineLevel="0" collapsed="false">
      <c r="A138" s="23" t="n">
        <v>2</v>
      </c>
      <c r="B138" s="24" t="b">
        <f aca="false">A138&lt;=Inputs!$B$17</f>
        <v>1</v>
      </c>
      <c r="C138" s="25" t="n">
        <f aca="false">IF(A138=2,C137*(1-Inputs!$B$22),C137)</f>
        <v>0.3243</v>
      </c>
      <c r="D138" s="26" t="n">
        <f aca="false">IF(B138,C138*(VLOOKUP("40",Inputs!$A$29:$K$33,3,FALSE())*(Inputs!$B$25/14)*Inputs!$B$5+VLOOKUP("40",Inputs!$A$29:$K$33,4,FALSE())*(Inputs!$B$25/14)*Inputs!$B$12+VLOOKUP("40",Inputs!$A$29:$K$33,5,FALSE())*(Inputs!$B$25/14)*Inputs!$B$13)+(1-C138)*(VLOOKUP("40",Inputs!$A$29:$K$33,6,FALSE())*(Inputs!$B$25/14)*Inputs!$B$5+VLOOKUP("40",Inputs!$A$29:$K$33,7,FALSE())*(Inputs!$B$25/14)*Inputs!$B$12+VLOOKUP("40",Inputs!$A$29:$K$33,8,FALSE())*(Inputs!$B$25/14)*Inputs!$B$13),C138*((VLOOKUP("40",Inputs!$A$29:$K$33,3,FALSE())*(Inputs!$B$25/14)*Inputs!$B$5+VLOOKUP("40",Inputs!$A$29:$K$33,4,FALSE())*(Inputs!$B$25/14)*Inputs!$B$12+VLOOKUP("40",Inputs!$A$29:$K$33,5,FALSE())*(Inputs!$B$25/14)*Inputs!$B$13)+Inputs!$B$18)+(1-C138)*((INDEX(Inputs!$A$37:$C$37,1,1)*(Inputs!$B$25/14)*Inputs!$B$5+INDEX(Inputs!$A$37:$C$37,1,2)*(Inputs!$B$25/14)*Inputs!$B$12+INDEX(Inputs!$A$37:$C$37,1,3)*(Inputs!$B$25/14)*Inputs!$B$13)))</f>
        <v>176.448106847659</v>
      </c>
      <c r="E138" s="25" t="n">
        <f aca="false">0</f>
        <v>0</v>
      </c>
      <c r="F13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39" customFormat="false" ht="15" hidden="false" customHeight="true" outlineLevel="0" collapsed="false">
      <c r="A139" s="23" t="n">
        <v>3</v>
      </c>
      <c r="B139" s="24" t="b">
        <f aca="false">A139&lt;=Inputs!$B$17</f>
        <v>1</v>
      </c>
      <c r="C139" s="25" t="n">
        <f aca="false">IF(A139=2,C138*(1-Inputs!$B$22),C138)</f>
        <v>0.3243</v>
      </c>
      <c r="D139" s="26" t="n">
        <f aca="false">IF(B139,C139*(VLOOKUP("40",Inputs!$A$29:$K$33,3,FALSE())*(Inputs!$B$25/14)*Inputs!$B$5+VLOOKUP("40",Inputs!$A$29:$K$33,4,FALSE())*(Inputs!$B$25/14)*Inputs!$B$12+VLOOKUP("40",Inputs!$A$29:$K$33,5,FALSE())*(Inputs!$B$25/14)*Inputs!$B$13)+(1-C139)*(VLOOKUP("40",Inputs!$A$29:$K$33,6,FALSE())*(Inputs!$B$25/14)*Inputs!$B$5+VLOOKUP("40",Inputs!$A$29:$K$33,7,FALSE())*(Inputs!$B$25/14)*Inputs!$B$12+VLOOKUP("40",Inputs!$A$29:$K$33,8,FALSE())*(Inputs!$B$25/14)*Inputs!$B$13),C139*((VLOOKUP("40",Inputs!$A$29:$K$33,3,FALSE())*(Inputs!$B$25/14)*Inputs!$B$5+VLOOKUP("40",Inputs!$A$29:$K$33,4,FALSE())*(Inputs!$B$25/14)*Inputs!$B$12+VLOOKUP("40",Inputs!$A$29:$K$33,5,FALSE())*(Inputs!$B$25/14)*Inputs!$B$13)+Inputs!$B$18)+(1-C139)*((INDEX(Inputs!$A$37:$C$37,1,1)*(Inputs!$B$25/14)*Inputs!$B$5+INDEX(Inputs!$A$37:$C$37,1,2)*(Inputs!$B$25/14)*Inputs!$B$12+INDEX(Inputs!$A$37:$C$37,1,3)*(Inputs!$B$25/14)*Inputs!$B$13)))</f>
        <v>176.448106847659</v>
      </c>
      <c r="E139" s="25" t="n">
        <f aca="false">0</f>
        <v>0</v>
      </c>
      <c r="F13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0" customFormat="false" ht="15" hidden="false" customHeight="true" outlineLevel="0" collapsed="false">
      <c r="A140" s="23" t="n">
        <v>4</v>
      </c>
      <c r="B140" s="24" t="b">
        <f aca="false">A140&lt;=Inputs!$B$17</f>
        <v>0</v>
      </c>
      <c r="C140" s="25" t="n">
        <f aca="false">IF(A140=2,C139*(1-Inputs!$B$22),C139)</f>
        <v>0.3243</v>
      </c>
      <c r="D140" s="26" t="n">
        <f aca="false">IF(B140,C140*(VLOOKUP("40",Inputs!$A$29:$K$33,3,FALSE())*(Inputs!$B$25/14)*Inputs!$B$5+VLOOKUP("40",Inputs!$A$29:$K$33,4,FALSE())*(Inputs!$B$25/14)*Inputs!$B$12+VLOOKUP("40",Inputs!$A$29:$K$33,5,FALSE())*(Inputs!$B$25/14)*Inputs!$B$13)+(1-C140)*(VLOOKUP("40",Inputs!$A$29:$K$33,6,FALSE())*(Inputs!$B$25/14)*Inputs!$B$5+VLOOKUP("40",Inputs!$A$29:$K$33,7,FALSE())*(Inputs!$B$25/14)*Inputs!$B$12+VLOOKUP("40",Inputs!$A$29:$K$33,8,FALSE())*(Inputs!$B$25/14)*Inputs!$B$13),C140*((VLOOKUP("40",Inputs!$A$29:$K$33,3,FALSE())*(Inputs!$B$25/14)*Inputs!$B$5+VLOOKUP("40",Inputs!$A$29:$K$33,4,FALSE())*(Inputs!$B$25/14)*Inputs!$B$12+VLOOKUP("40",Inputs!$A$29:$K$33,5,FALSE())*(Inputs!$B$25/14)*Inputs!$B$13)+Inputs!$B$18)+(1-C140)*((INDEX(Inputs!$A$37:$C$37,1,1)*(Inputs!$B$25/14)*Inputs!$B$5+INDEX(Inputs!$A$37:$C$37,1,2)*(Inputs!$B$25/14)*Inputs!$B$12+INDEX(Inputs!$A$37:$C$37,1,3)*(Inputs!$B$25/14)*Inputs!$B$13)))</f>
        <v>332.74907651665</v>
      </c>
      <c r="E140" s="25" t="n">
        <f aca="false">0</f>
        <v>0</v>
      </c>
      <c r="F14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1" customFormat="false" ht="15" hidden="false" customHeight="true" outlineLevel="0" collapsed="false">
      <c r="A141" s="23" t="n">
        <v>5</v>
      </c>
      <c r="B141" s="24" t="b">
        <f aca="false">A141&lt;=Inputs!$B$17</f>
        <v>0</v>
      </c>
      <c r="C141" s="25" t="n">
        <f aca="false">IF(A141=2,C140*(1-Inputs!$B$22),C140)</f>
        <v>0.3243</v>
      </c>
      <c r="D141" s="26" t="n">
        <f aca="false">IF(B141,C141*(VLOOKUP("40",Inputs!$A$29:$K$33,3,FALSE())*(Inputs!$B$25/14)*Inputs!$B$5+VLOOKUP("40",Inputs!$A$29:$K$33,4,FALSE())*(Inputs!$B$25/14)*Inputs!$B$12+VLOOKUP("40",Inputs!$A$29:$K$33,5,FALSE())*(Inputs!$B$25/14)*Inputs!$B$13)+(1-C141)*(VLOOKUP("40",Inputs!$A$29:$K$33,6,FALSE())*(Inputs!$B$25/14)*Inputs!$B$5+VLOOKUP("40",Inputs!$A$29:$K$33,7,FALSE())*(Inputs!$B$25/14)*Inputs!$B$12+VLOOKUP("40",Inputs!$A$29:$K$33,8,FALSE())*(Inputs!$B$25/14)*Inputs!$B$13),C141*((VLOOKUP("40",Inputs!$A$29:$K$33,3,FALSE())*(Inputs!$B$25/14)*Inputs!$B$5+VLOOKUP("40",Inputs!$A$29:$K$33,4,FALSE())*(Inputs!$B$25/14)*Inputs!$B$12+VLOOKUP("40",Inputs!$A$29:$K$33,5,FALSE())*(Inputs!$B$25/14)*Inputs!$B$13)+Inputs!$B$18)+(1-C141)*((INDEX(Inputs!$A$37:$C$37,1,1)*(Inputs!$B$25/14)*Inputs!$B$5+INDEX(Inputs!$A$37:$C$37,1,2)*(Inputs!$B$25/14)*Inputs!$B$12+INDEX(Inputs!$A$37:$C$37,1,3)*(Inputs!$B$25/14)*Inputs!$B$13)))</f>
        <v>332.74907651665</v>
      </c>
      <c r="E141" s="25" t="n">
        <f aca="false">0</f>
        <v>0</v>
      </c>
      <c r="F14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2" customFormat="false" ht="15" hidden="false" customHeight="true" outlineLevel="0" collapsed="false">
      <c r="A142" s="23" t="n">
        <v>6</v>
      </c>
      <c r="B142" s="24" t="b">
        <f aca="false">A142&lt;=Inputs!$B$17</f>
        <v>0</v>
      </c>
      <c r="C142" s="25" t="n">
        <f aca="false">IF(A142=2,C141*(1-Inputs!$B$22),C141)</f>
        <v>0.3243</v>
      </c>
      <c r="D142" s="26" t="n">
        <f aca="false">IF(B142,C142*(VLOOKUP("40",Inputs!$A$29:$K$33,3,FALSE())*(Inputs!$B$25/14)*Inputs!$B$5+VLOOKUP("40",Inputs!$A$29:$K$33,4,FALSE())*(Inputs!$B$25/14)*Inputs!$B$12+VLOOKUP("40",Inputs!$A$29:$K$33,5,FALSE())*(Inputs!$B$25/14)*Inputs!$B$13)+(1-C142)*(VLOOKUP("40",Inputs!$A$29:$K$33,6,FALSE())*(Inputs!$B$25/14)*Inputs!$B$5+VLOOKUP("40",Inputs!$A$29:$K$33,7,FALSE())*(Inputs!$B$25/14)*Inputs!$B$12+VLOOKUP("40",Inputs!$A$29:$K$33,8,FALSE())*(Inputs!$B$25/14)*Inputs!$B$13),C142*((VLOOKUP("40",Inputs!$A$29:$K$33,3,FALSE())*(Inputs!$B$25/14)*Inputs!$B$5+VLOOKUP("40",Inputs!$A$29:$K$33,4,FALSE())*(Inputs!$B$25/14)*Inputs!$B$12+VLOOKUP("40",Inputs!$A$29:$K$33,5,FALSE())*(Inputs!$B$25/14)*Inputs!$B$13)+Inputs!$B$18)+(1-C142)*((INDEX(Inputs!$A$37:$C$37,1,1)*(Inputs!$B$25/14)*Inputs!$B$5+INDEX(Inputs!$A$37:$C$37,1,2)*(Inputs!$B$25/14)*Inputs!$B$12+INDEX(Inputs!$A$37:$C$37,1,3)*(Inputs!$B$25/14)*Inputs!$B$13)))</f>
        <v>332.74907651665</v>
      </c>
      <c r="E142" s="25" t="n">
        <f aca="false">0</f>
        <v>0</v>
      </c>
      <c r="F14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3" customFormat="false" ht="15" hidden="false" customHeight="true" outlineLevel="0" collapsed="false">
      <c r="A143" s="23" t="n">
        <v>7</v>
      </c>
      <c r="B143" s="24" t="b">
        <f aca="false">A143&lt;=Inputs!$B$17</f>
        <v>0</v>
      </c>
      <c r="C143" s="25" t="n">
        <f aca="false">IF(A143=2,C142*(1-Inputs!$B$22),C142)</f>
        <v>0.3243</v>
      </c>
      <c r="D143" s="26" t="n">
        <f aca="false">IF(B143,C143*(VLOOKUP("40",Inputs!$A$29:$K$33,3,FALSE())*(Inputs!$B$25/14)*Inputs!$B$5+VLOOKUP("40",Inputs!$A$29:$K$33,4,FALSE())*(Inputs!$B$25/14)*Inputs!$B$12+VLOOKUP("40",Inputs!$A$29:$K$33,5,FALSE())*(Inputs!$B$25/14)*Inputs!$B$13)+(1-C143)*(VLOOKUP("40",Inputs!$A$29:$K$33,6,FALSE())*(Inputs!$B$25/14)*Inputs!$B$5+VLOOKUP("40",Inputs!$A$29:$K$33,7,FALSE())*(Inputs!$B$25/14)*Inputs!$B$12+VLOOKUP("40",Inputs!$A$29:$K$33,8,FALSE())*(Inputs!$B$25/14)*Inputs!$B$13),C143*((VLOOKUP("40",Inputs!$A$29:$K$33,3,FALSE())*(Inputs!$B$25/14)*Inputs!$B$5+VLOOKUP("40",Inputs!$A$29:$K$33,4,FALSE())*(Inputs!$B$25/14)*Inputs!$B$12+VLOOKUP("40",Inputs!$A$29:$K$33,5,FALSE())*(Inputs!$B$25/14)*Inputs!$B$13)+Inputs!$B$18)+(1-C143)*((INDEX(Inputs!$A$37:$C$37,1,1)*(Inputs!$B$25/14)*Inputs!$B$5+INDEX(Inputs!$A$37:$C$37,1,2)*(Inputs!$B$25/14)*Inputs!$B$12+INDEX(Inputs!$A$37:$C$37,1,3)*(Inputs!$B$25/14)*Inputs!$B$13)))</f>
        <v>332.74907651665</v>
      </c>
      <c r="E143" s="25" t="n">
        <f aca="false">0</f>
        <v>0</v>
      </c>
      <c r="F14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4" customFormat="false" ht="15" hidden="false" customHeight="true" outlineLevel="0" collapsed="false">
      <c r="A144" s="23" t="n">
        <v>8</v>
      </c>
      <c r="B144" s="24" t="b">
        <f aca="false">A144&lt;=Inputs!$B$17</f>
        <v>0</v>
      </c>
      <c r="C144" s="25" t="n">
        <f aca="false">IF(A144=2,C143*(1-Inputs!$B$22),C143)</f>
        <v>0.3243</v>
      </c>
      <c r="D144" s="26" t="n">
        <f aca="false">IF(B144,C144*(VLOOKUP("40",Inputs!$A$29:$K$33,3,FALSE())*(Inputs!$B$25/14)*Inputs!$B$5+VLOOKUP("40",Inputs!$A$29:$K$33,4,FALSE())*(Inputs!$B$25/14)*Inputs!$B$12+VLOOKUP("40",Inputs!$A$29:$K$33,5,FALSE())*(Inputs!$B$25/14)*Inputs!$B$13)+(1-C144)*(VLOOKUP("40",Inputs!$A$29:$K$33,6,FALSE())*(Inputs!$B$25/14)*Inputs!$B$5+VLOOKUP("40",Inputs!$A$29:$K$33,7,FALSE())*(Inputs!$B$25/14)*Inputs!$B$12+VLOOKUP("40",Inputs!$A$29:$K$33,8,FALSE())*(Inputs!$B$25/14)*Inputs!$B$13),C144*((VLOOKUP("40",Inputs!$A$29:$K$33,3,FALSE())*(Inputs!$B$25/14)*Inputs!$B$5+VLOOKUP("40",Inputs!$A$29:$K$33,4,FALSE())*(Inputs!$B$25/14)*Inputs!$B$12+VLOOKUP("40",Inputs!$A$29:$K$33,5,FALSE())*(Inputs!$B$25/14)*Inputs!$B$13)+Inputs!$B$18)+(1-C144)*((INDEX(Inputs!$A$37:$C$37,1,1)*(Inputs!$B$25/14)*Inputs!$B$5+INDEX(Inputs!$A$37:$C$37,1,2)*(Inputs!$B$25/14)*Inputs!$B$12+INDEX(Inputs!$A$37:$C$37,1,3)*(Inputs!$B$25/14)*Inputs!$B$13)))</f>
        <v>332.74907651665</v>
      </c>
      <c r="E144" s="25" t="n">
        <f aca="false">0</f>
        <v>0</v>
      </c>
      <c r="F14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5" customFormat="false" ht="15" hidden="false" customHeight="true" outlineLevel="0" collapsed="false">
      <c r="A145" s="23" t="n">
        <v>9</v>
      </c>
      <c r="B145" s="24" t="b">
        <f aca="false">A145&lt;=Inputs!$B$17</f>
        <v>0</v>
      </c>
      <c r="C145" s="25" t="n">
        <f aca="false">IF(A145=2,C144*(1-Inputs!$B$22),C144)</f>
        <v>0.3243</v>
      </c>
      <c r="D145" s="26" t="n">
        <f aca="false">IF(B145,C145*(VLOOKUP("40",Inputs!$A$29:$K$33,3,FALSE())*(Inputs!$B$25/14)*Inputs!$B$5+VLOOKUP("40",Inputs!$A$29:$K$33,4,FALSE())*(Inputs!$B$25/14)*Inputs!$B$12+VLOOKUP("40",Inputs!$A$29:$K$33,5,FALSE())*(Inputs!$B$25/14)*Inputs!$B$13)+(1-C145)*(VLOOKUP("40",Inputs!$A$29:$K$33,6,FALSE())*(Inputs!$B$25/14)*Inputs!$B$5+VLOOKUP("40",Inputs!$A$29:$K$33,7,FALSE())*(Inputs!$B$25/14)*Inputs!$B$12+VLOOKUP("40",Inputs!$A$29:$K$33,8,FALSE())*(Inputs!$B$25/14)*Inputs!$B$13),C145*((VLOOKUP("40",Inputs!$A$29:$K$33,3,FALSE())*(Inputs!$B$25/14)*Inputs!$B$5+VLOOKUP("40",Inputs!$A$29:$K$33,4,FALSE())*(Inputs!$B$25/14)*Inputs!$B$12+VLOOKUP("40",Inputs!$A$29:$K$33,5,FALSE())*(Inputs!$B$25/14)*Inputs!$B$13)+Inputs!$B$18)+(1-C145)*((INDEX(Inputs!$A$37:$C$37,1,1)*(Inputs!$B$25/14)*Inputs!$B$5+INDEX(Inputs!$A$37:$C$37,1,2)*(Inputs!$B$25/14)*Inputs!$B$12+INDEX(Inputs!$A$37:$C$37,1,3)*(Inputs!$B$25/14)*Inputs!$B$13)))</f>
        <v>332.74907651665</v>
      </c>
      <c r="E145" s="25" t="n">
        <f aca="false">0</f>
        <v>0</v>
      </c>
      <c r="F14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6" customFormat="false" ht="15" hidden="false" customHeight="true" outlineLevel="0" collapsed="false">
      <c r="A146" s="23" t="n">
        <v>10</v>
      </c>
      <c r="B146" s="24" t="b">
        <f aca="false">A146&lt;=Inputs!$B$17</f>
        <v>0</v>
      </c>
      <c r="C146" s="25" t="n">
        <f aca="false">IF(A146=2,C145*(1-Inputs!$B$22),C145)</f>
        <v>0.3243</v>
      </c>
      <c r="D146" s="26" t="n">
        <f aca="false">IF(B146,C146*(VLOOKUP("40",Inputs!$A$29:$K$33,3,FALSE())*(Inputs!$B$25/14)*Inputs!$B$5+VLOOKUP("40",Inputs!$A$29:$K$33,4,FALSE())*(Inputs!$B$25/14)*Inputs!$B$12+VLOOKUP("40",Inputs!$A$29:$K$33,5,FALSE())*(Inputs!$B$25/14)*Inputs!$B$13)+(1-C146)*(VLOOKUP("40",Inputs!$A$29:$K$33,6,FALSE())*(Inputs!$B$25/14)*Inputs!$B$5+VLOOKUP("40",Inputs!$A$29:$K$33,7,FALSE())*(Inputs!$B$25/14)*Inputs!$B$12+VLOOKUP("40",Inputs!$A$29:$K$33,8,FALSE())*(Inputs!$B$25/14)*Inputs!$B$13),C146*((VLOOKUP("40",Inputs!$A$29:$K$33,3,FALSE())*(Inputs!$B$25/14)*Inputs!$B$5+VLOOKUP("40",Inputs!$A$29:$K$33,4,FALSE())*(Inputs!$B$25/14)*Inputs!$B$12+VLOOKUP("40",Inputs!$A$29:$K$33,5,FALSE())*(Inputs!$B$25/14)*Inputs!$B$13)+Inputs!$B$18)+(1-C146)*((INDEX(Inputs!$A$37:$C$37,1,1)*(Inputs!$B$25/14)*Inputs!$B$5+INDEX(Inputs!$A$37:$C$37,1,2)*(Inputs!$B$25/14)*Inputs!$B$12+INDEX(Inputs!$A$37:$C$37,1,3)*(Inputs!$B$25/14)*Inputs!$B$13)))</f>
        <v>332.74907651665</v>
      </c>
      <c r="E146" s="25" t="n">
        <f aca="false">0</f>
        <v>0</v>
      </c>
      <c r="F14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7" customFormat="false" ht="15" hidden="false" customHeight="true" outlineLevel="0" collapsed="false">
      <c r="A147" s="23" t="n">
        <v>11</v>
      </c>
      <c r="B147" s="24" t="b">
        <f aca="false">A147&lt;=Inputs!$B$17</f>
        <v>0</v>
      </c>
      <c r="C147" s="25" t="n">
        <f aca="false">IF(A147=2,C146*(1-Inputs!$B$22),C146)</f>
        <v>0.3243</v>
      </c>
      <c r="D147" s="26" t="n">
        <f aca="false">IF(B147,C147*(VLOOKUP("40",Inputs!$A$29:$K$33,3,FALSE())*(Inputs!$B$25/14)*Inputs!$B$5+VLOOKUP("40",Inputs!$A$29:$K$33,4,FALSE())*(Inputs!$B$25/14)*Inputs!$B$12+VLOOKUP("40",Inputs!$A$29:$K$33,5,FALSE())*(Inputs!$B$25/14)*Inputs!$B$13)+(1-C147)*(VLOOKUP("40",Inputs!$A$29:$K$33,6,FALSE())*(Inputs!$B$25/14)*Inputs!$B$5+VLOOKUP("40",Inputs!$A$29:$K$33,7,FALSE())*(Inputs!$B$25/14)*Inputs!$B$12+VLOOKUP("40",Inputs!$A$29:$K$33,8,FALSE())*(Inputs!$B$25/14)*Inputs!$B$13),C147*((VLOOKUP("40",Inputs!$A$29:$K$33,3,FALSE())*(Inputs!$B$25/14)*Inputs!$B$5+VLOOKUP("40",Inputs!$A$29:$K$33,4,FALSE())*(Inputs!$B$25/14)*Inputs!$B$12+VLOOKUP("40",Inputs!$A$29:$K$33,5,FALSE())*(Inputs!$B$25/14)*Inputs!$B$13)+Inputs!$B$18)+(1-C147)*((INDEX(Inputs!$A$37:$C$37,1,1)*(Inputs!$B$25/14)*Inputs!$B$5+INDEX(Inputs!$A$37:$C$37,1,2)*(Inputs!$B$25/14)*Inputs!$B$12+INDEX(Inputs!$A$37:$C$37,1,3)*(Inputs!$B$25/14)*Inputs!$B$13)))</f>
        <v>332.74907651665</v>
      </c>
      <c r="E147" s="25" t="n">
        <f aca="false">0</f>
        <v>0</v>
      </c>
      <c r="F14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8" customFormat="false" ht="15" hidden="false" customHeight="true" outlineLevel="0" collapsed="false">
      <c r="A148" s="23" t="n">
        <v>12</v>
      </c>
      <c r="B148" s="24" t="b">
        <f aca="false">A148&lt;=Inputs!$B$17</f>
        <v>0</v>
      </c>
      <c r="C148" s="25" t="n">
        <f aca="false">IF(A148=2,C147*(1-Inputs!$B$22),C147)</f>
        <v>0.3243</v>
      </c>
      <c r="D148" s="26" t="n">
        <f aca="false">IF(B148,C148*(VLOOKUP("40",Inputs!$A$29:$K$33,3,FALSE())*(Inputs!$B$25/14)*Inputs!$B$5+VLOOKUP("40",Inputs!$A$29:$K$33,4,FALSE())*(Inputs!$B$25/14)*Inputs!$B$12+VLOOKUP("40",Inputs!$A$29:$K$33,5,FALSE())*(Inputs!$B$25/14)*Inputs!$B$13)+(1-C148)*(VLOOKUP("40",Inputs!$A$29:$K$33,6,FALSE())*(Inputs!$B$25/14)*Inputs!$B$5+VLOOKUP("40",Inputs!$A$29:$K$33,7,FALSE())*(Inputs!$B$25/14)*Inputs!$B$12+VLOOKUP("40",Inputs!$A$29:$K$33,8,FALSE())*(Inputs!$B$25/14)*Inputs!$B$13),C148*((VLOOKUP("40",Inputs!$A$29:$K$33,3,FALSE())*(Inputs!$B$25/14)*Inputs!$B$5+VLOOKUP("40",Inputs!$A$29:$K$33,4,FALSE())*(Inputs!$B$25/14)*Inputs!$B$12+VLOOKUP("40",Inputs!$A$29:$K$33,5,FALSE())*(Inputs!$B$25/14)*Inputs!$B$13)+Inputs!$B$18)+(1-C148)*((INDEX(Inputs!$A$37:$C$37,1,1)*(Inputs!$B$25/14)*Inputs!$B$5+INDEX(Inputs!$A$37:$C$37,1,2)*(Inputs!$B$25/14)*Inputs!$B$12+INDEX(Inputs!$A$37:$C$37,1,3)*(Inputs!$B$25/14)*Inputs!$B$13)))</f>
        <v>332.74907651665</v>
      </c>
      <c r="E148" s="25" t="n">
        <f aca="false">0</f>
        <v>0</v>
      </c>
      <c r="F14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49" customFormat="false" ht="15" hidden="false" customHeight="true" outlineLevel="0" collapsed="false">
      <c r="A149" s="27" t="s">
        <v>125</v>
      </c>
      <c r="D149" s="28" t="n">
        <f aca="false">SUM(D137:D148)</f>
        <v>3515.18154328503</v>
      </c>
      <c r="F149" s="28" t="n">
        <f aca="false">SUM(F137:F148)</f>
        <v>3915.17838956203</v>
      </c>
    </row>
    <row r="151" customFormat="false" ht="15" hidden="false" customHeight="true" outlineLevel="0" collapsed="false">
      <c r="A151" s="27" t="s">
        <v>156</v>
      </c>
    </row>
    <row r="152" customFormat="false" ht="21.75" hidden="false" customHeight="true" outlineLevel="0" collapsed="false">
      <c r="A152" s="43" t="s">
        <v>92</v>
      </c>
      <c r="B152" s="43" t="s">
        <v>145</v>
      </c>
      <c r="C152" s="43" t="s">
        <v>146</v>
      </c>
      <c r="D152" s="43" t="s">
        <v>147</v>
      </c>
      <c r="E152" s="43" t="s">
        <v>148</v>
      </c>
      <c r="F152" s="43" t="s">
        <v>149</v>
      </c>
    </row>
    <row r="153" customFormat="false" ht="15" hidden="false" customHeight="true" outlineLevel="0" collapsed="false">
      <c r="A153" s="23" t="n">
        <v>1</v>
      </c>
      <c r="B153" s="24" t="b">
        <f aca="false">A153&lt;=Inputs!$B$17</f>
        <v>1</v>
      </c>
      <c r="C153" s="25" t="n">
        <f aca="false">VLOOKUP("40",Inputs!$A$29:$K$33,2,FALSE())</f>
        <v>0.47</v>
      </c>
      <c r="D153" s="26" t="n">
        <f aca="false">IF(B153,C153*(VLOOKUP("40",Inputs!$A$29:$K$33,3,FALSE())*(Inputs!$B$25/14)*Inputs!$B$5+VLOOKUP("40",Inputs!$A$29:$K$33,4,FALSE())*(Inputs!$B$25/14)*Inputs!$B$12+VLOOKUP("40",Inputs!$A$29:$K$33,5,FALSE())*(Inputs!$B$25/14)*Inputs!$B$13)+(1-C153)*(VLOOKUP("40",Inputs!$A$29:$K$33,6,FALSE())*(Inputs!$B$25/14)*Inputs!$B$5+VLOOKUP("40",Inputs!$A$29:$K$33,7,FALSE())*(Inputs!$B$25/14)*Inputs!$B$12+VLOOKUP("40",Inputs!$A$29:$K$33,8,FALSE())*(Inputs!$B$25/14)*Inputs!$B$13),C153*((VLOOKUP("40",Inputs!$A$29:$K$33,3,FALSE())*(Inputs!$B$25/14)*Inputs!$B$5+VLOOKUP("40",Inputs!$A$29:$K$33,4,FALSE())*(Inputs!$B$25/14)*Inputs!$B$12+VLOOKUP("40",Inputs!$A$29:$K$33,5,FALSE())*(Inputs!$B$25/14)*Inputs!$B$13)+Inputs!$B$18)+(1-C153)*((VLOOKUP("40",Inputs!$A$29:$K$33,9,FALSE())*(Inputs!$B$25/14)*Inputs!$B$5+VLOOKUP("40",Inputs!$A$29:$K$33,10,FALSE())*(Inputs!$B$25/14)*Inputs!$B$12+VLOOKUP("40",Inputs!$A$29:$K$33,11,FALSE())*(Inputs!$B$25/14)*Inputs!$B$13)))</f>
        <v>167.543640939866</v>
      </c>
      <c r="E153" s="25" t="n">
        <f aca="false">Inputs!$B$21</f>
        <v>0.083</v>
      </c>
      <c r="F153" s="26" t="n">
        <f aca="false">E153*(VLOOKUP("40",Inputs!$A$29:$K$33,3,FALSE())*(Inputs!$B$25/14)*Inputs!$B$5+VLOOKUP("40",Inputs!$A$29:$K$33,4,FALSE())*(Inputs!$B$25/14)*Inputs!$B$12+VLOOKUP("40",Inputs!$A$29:$K$33,5,FALSE())*(Inputs!$B$25/14)*Inputs!$B$13)+(1-E153)*(INDEX(Inputs!$A$37:$C$37,1,1)*(Inputs!$B$25/14)*Inputs!$B$5+INDEX(Inputs!$A$37:$C$37,1,2)*(Inputs!$B$25/14)*Inputs!$B$12+INDEX(Inputs!$A$37:$C$37,1,3)*(Inputs!$B$25/14)*Inputs!$B$13)</f>
        <v>311.623139673638</v>
      </c>
    </row>
    <row r="154" customFormat="false" ht="15" hidden="false" customHeight="true" outlineLevel="0" collapsed="false">
      <c r="A154" s="23" t="n">
        <v>2</v>
      </c>
      <c r="B154" s="24" t="b">
        <f aca="false">A154&lt;=Inputs!$B$17</f>
        <v>1</v>
      </c>
      <c r="C154" s="25" t="n">
        <f aca="false">IF(A154=2,C153*(1-Inputs!$B$22),C153)</f>
        <v>0.3243</v>
      </c>
      <c r="D154" s="26" t="n">
        <f aca="false">IF(B154,C154*(VLOOKUP("40",Inputs!$A$29:$K$33,3,FALSE())*(Inputs!$B$25/14)*Inputs!$B$5+VLOOKUP("40",Inputs!$A$29:$K$33,4,FALSE())*(Inputs!$B$25/14)*Inputs!$B$12+VLOOKUP("40",Inputs!$A$29:$K$33,5,FALSE())*(Inputs!$B$25/14)*Inputs!$B$13)+(1-C154)*(VLOOKUP("40",Inputs!$A$29:$K$33,6,FALSE())*(Inputs!$B$25/14)*Inputs!$B$5+VLOOKUP("40",Inputs!$A$29:$K$33,7,FALSE())*(Inputs!$B$25/14)*Inputs!$B$12+VLOOKUP("40",Inputs!$A$29:$K$33,8,FALSE())*(Inputs!$B$25/14)*Inputs!$B$13),C154*((VLOOKUP("40",Inputs!$A$29:$K$33,3,FALSE())*(Inputs!$B$25/14)*Inputs!$B$5+VLOOKUP("40",Inputs!$A$29:$K$33,4,FALSE())*(Inputs!$B$25/14)*Inputs!$B$12+VLOOKUP("40",Inputs!$A$29:$K$33,5,FALSE())*(Inputs!$B$25/14)*Inputs!$B$13)+Inputs!$B$18)+(1-C154)*((VLOOKUP("40",Inputs!$A$29:$K$33,9,FALSE())*(Inputs!$B$25/14)*Inputs!$B$5+VLOOKUP("40",Inputs!$A$29:$K$33,10,FALSE())*(Inputs!$B$25/14)*Inputs!$B$12+VLOOKUP("40",Inputs!$A$29:$K$33,11,FALSE())*(Inputs!$B$25/14)*Inputs!$B$13)))</f>
        <v>176.448106847659</v>
      </c>
      <c r="E154" s="25" t="n">
        <f aca="false">0</f>
        <v>0</v>
      </c>
      <c r="F15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55" customFormat="false" ht="15" hidden="false" customHeight="true" outlineLevel="0" collapsed="false">
      <c r="A155" s="23" t="n">
        <v>3</v>
      </c>
      <c r="B155" s="24" t="b">
        <f aca="false">A155&lt;=Inputs!$B$17</f>
        <v>1</v>
      </c>
      <c r="C155" s="25" t="n">
        <f aca="false">IF(A155=2,C154*(1-Inputs!$B$22),C154)</f>
        <v>0.3243</v>
      </c>
      <c r="D155" s="26" t="n">
        <f aca="false">IF(B155,C155*(VLOOKUP("40",Inputs!$A$29:$K$33,3,FALSE())*(Inputs!$B$25/14)*Inputs!$B$5+VLOOKUP("40",Inputs!$A$29:$K$33,4,FALSE())*(Inputs!$B$25/14)*Inputs!$B$12+VLOOKUP("40",Inputs!$A$29:$K$33,5,FALSE())*(Inputs!$B$25/14)*Inputs!$B$13)+(1-C155)*(VLOOKUP("40",Inputs!$A$29:$K$33,6,FALSE())*(Inputs!$B$25/14)*Inputs!$B$5+VLOOKUP("40",Inputs!$A$29:$K$33,7,FALSE())*(Inputs!$B$25/14)*Inputs!$B$12+VLOOKUP("40",Inputs!$A$29:$K$33,8,FALSE())*(Inputs!$B$25/14)*Inputs!$B$13),C155*((VLOOKUP("40",Inputs!$A$29:$K$33,3,FALSE())*(Inputs!$B$25/14)*Inputs!$B$5+VLOOKUP("40",Inputs!$A$29:$K$33,4,FALSE())*(Inputs!$B$25/14)*Inputs!$B$12+VLOOKUP("40",Inputs!$A$29:$K$33,5,FALSE())*(Inputs!$B$25/14)*Inputs!$B$13)+Inputs!$B$18)+(1-C155)*((VLOOKUP("40",Inputs!$A$29:$K$33,9,FALSE())*(Inputs!$B$25/14)*Inputs!$B$5+VLOOKUP("40",Inputs!$A$29:$K$33,10,FALSE())*(Inputs!$B$25/14)*Inputs!$B$12+VLOOKUP("40",Inputs!$A$29:$K$33,11,FALSE())*(Inputs!$B$25/14)*Inputs!$B$13)))</f>
        <v>176.448106847659</v>
      </c>
      <c r="E155" s="25" t="n">
        <f aca="false">0</f>
        <v>0</v>
      </c>
      <c r="F15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56" customFormat="false" ht="15" hidden="false" customHeight="true" outlineLevel="0" collapsed="false">
      <c r="A156" s="23" t="n">
        <v>4</v>
      </c>
      <c r="B156" s="24" t="b">
        <f aca="false">A156&lt;=Inputs!$B$17</f>
        <v>0</v>
      </c>
      <c r="C156" s="25" t="n">
        <f aca="false">IF(A156=2,C155*(1-Inputs!$B$22),C155)</f>
        <v>0.3243</v>
      </c>
      <c r="D156" s="26" t="n">
        <f aca="false">IF(B156,C156*(VLOOKUP("40",Inputs!$A$29:$K$33,3,FALSE())*(Inputs!$B$25/14)*Inputs!$B$5+VLOOKUP("40",Inputs!$A$29:$K$33,4,FALSE())*(Inputs!$B$25/14)*Inputs!$B$12+VLOOKUP("40",Inputs!$A$29:$K$33,5,FALSE())*(Inputs!$B$25/14)*Inputs!$B$13)+(1-C156)*(VLOOKUP("40",Inputs!$A$29:$K$33,6,FALSE())*(Inputs!$B$25/14)*Inputs!$B$5+VLOOKUP("40",Inputs!$A$29:$K$33,7,FALSE())*(Inputs!$B$25/14)*Inputs!$B$12+VLOOKUP("40",Inputs!$A$29:$K$33,8,FALSE())*(Inputs!$B$25/14)*Inputs!$B$13),C156*((VLOOKUP("40",Inputs!$A$29:$K$33,3,FALSE())*(Inputs!$B$25/14)*Inputs!$B$5+VLOOKUP("40",Inputs!$A$29:$K$33,4,FALSE())*(Inputs!$B$25/14)*Inputs!$B$12+VLOOKUP("40",Inputs!$A$29:$K$33,5,FALSE())*(Inputs!$B$25/14)*Inputs!$B$13)+Inputs!$B$18)+(1-C156)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56" s="25" t="n">
        <f aca="false">0</f>
        <v>0</v>
      </c>
      <c r="F15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57" customFormat="false" ht="15" hidden="false" customHeight="true" outlineLevel="0" collapsed="false">
      <c r="A157" s="23" t="n">
        <v>5</v>
      </c>
      <c r="B157" s="24" t="b">
        <f aca="false">A157&lt;=Inputs!$B$17</f>
        <v>0</v>
      </c>
      <c r="C157" s="25" t="n">
        <f aca="false">IF(A157=2,C156*(1-Inputs!$B$22),C156)</f>
        <v>0.3243</v>
      </c>
      <c r="D157" s="26" t="n">
        <f aca="false">IF(B157,C157*(VLOOKUP("40",Inputs!$A$29:$K$33,3,FALSE())*(Inputs!$B$25/14)*Inputs!$B$5+VLOOKUP("40",Inputs!$A$29:$K$33,4,FALSE())*(Inputs!$B$25/14)*Inputs!$B$12+VLOOKUP("40",Inputs!$A$29:$K$33,5,FALSE())*(Inputs!$B$25/14)*Inputs!$B$13)+(1-C157)*(VLOOKUP("40",Inputs!$A$29:$K$33,6,FALSE())*(Inputs!$B$25/14)*Inputs!$B$5+VLOOKUP("40",Inputs!$A$29:$K$33,7,FALSE())*(Inputs!$B$25/14)*Inputs!$B$12+VLOOKUP("40",Inputs!$A$29:$K$33,8,FALSE())*(Inputs!$B$25/14)*Inputs!$B$13),C157*((VLOOKUP("40",Inputs!$A$29:$K$33,3,FALSE())*(Inputs!$B$25/14)*Inputs!$B$5+VLOOKUP("40",Inputs!$A$29:$K$33,4,FALSE())*(Inputs!$B$25/14)*Inputs!$B$12+VLOOKUP("40",Inputs!$A$29:$K$33,5,FALSE())*(Inputs!$B$25/14)*Inputs!$B$13)+Inputs!$B$18)+(1-C157)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57" s="25" t="n">
        <f aca="false">0</f>
        <v>0</v>
      </c>
      <c r="F15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58" customFormat="false" ht="15" hidden="false" customHeight="true" outlineLevel="0" collapsed="false">
      <c r="A158" s="23" t="n">
        <v>6</v>
      </c>
      <c r="B158" s="24" t="b">
        <f aca="false">A158&lt;=Inputs!$B$17</f>
        <v>0</v>
      </c>
      <c r="C158" s="25" t="n">
        <f aca="false">IF(A158=2,C157*(1-Inputs!$B$22),C157)</f>
        <v>0.3243</v>
      </c>
      <c r="D158" s="26" t="n">
        <f aca="false">IF(B158,C158*(VLOOKUP("40",Inputs!$A$29:$K$33,3,FALSE())*(Inputs!$B$25/14)*Inputs!$B$5+VLOOKUP("40",Inputs!$A$29:$K$33,4,FALSE())*(Inputs!$B$25/14)*Inputs!$B$12+VLOOKUP("40",Inputs!$A$29:$K$33,5,FALSE())*(Inputs!$B$25/14)*Inputs!$B$13)+(1-C158)*(VLOOKUP("40",Inputs!$A$29:$K$33,6,FALSE())*(Inputs!$B$25/14)*Inputs!$B$5+VLOOKUP("40",Inputs!$A$29:$K$33,7,FALSE())*(Inputs!$B$25/14)*Inputs!$B$12+VLOOKUP("40",Inputs!$A$29:$K$33,8,FALSE())*(Inputs!$B$25/14)*Inputs!$B$13),C158*((VLOOKUP("40",Inputs!$A$29:$K$33,3,FALSE())*(Inputs!$B$25/14)*Inputs!$B$5+VLOOKUP("40",Inputs!$A$29:$K$33,4,FALSE())*(Inputs!$B$25/14)*Inputs!$B$12+VLOOKUP("40",Inputs!$A$29:$K$33,5,FALSE())*(Inputs!$B$25/14)*Inputs!$B$13)+Inputs!$B$18)+(1-C158)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58" s="25" t="n">
        <f aca="false">0</f>
        <v>0</v>
      </c>
      <c r="F15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59" customFormat="false" ht="15" hidden="false" customHeight="true" outlineLevel="0" collapsed="false">
      <c r="A159" s="23" t="n">
        <v>7</v>
      </c>
      <c r="B159" s="24" t="b">
        <f aca="false">A159&lt;=Inputs!$B$17</f>
        <v>0</v>
      </c>
      <c r="C159" s="25" t="n">
        <f aca="false">IF(A159=2,C158*(1-Inputs!$B$22),C158)</f>
        <v>0.3243</v>
      </c>
      <c r="D159" s="26" t="n">
        <f aca="false">IF(B159,C159*(VLOOKUP("40",Inputs!$A$29:$K$33,3,FALSE())*(Inputs!$B$25/14)*Inputs!$B$5+VLOOKUP("40",Inputs!$A$29:$K$33,4,FALSE())*(Inputs!$B$25/14)*Inputs!$B$12+VLOOKUP("40",Inputs!$A$29:$K$33,5,FALSE())*(Inputs!$B$25/14)*Inputs!$B$13)+(1-C159)*(VLOOKUP("40",Inputs!$A$29:$K$33,6,FALSE())*(Inputs!$B$25/14)*Inputs!$B$5+VLOOKUP("40",Inputs!$A$29:$K$33,7,FALSE())*(Inputs!$B$25/14)*Inputs!$B$12+VLOOKUP("40",Inputs!$A$29:$K$33,8,FALSE())*(Inputs!$B$25/14)*Inputs!$B$13),C159*((VLOOKUP("40",Inputs!$A$29:$K$33,3,FALSE())*(Inputs!$B$25/14)*Inputs!$B$5+VLOOKUP("40",Inputs!$A$29:$K$33,4,FALSE())*(Inputs!$B$25/14)*Inputs!$B$12+VLOOKUP("40",Inputs!$A$29:$K$33,5,FALSE())*(Inputs!$B$25/14)*Inputs!$B$13)+Inputs!$B$18)+(1-C159)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59" s="25" t="n">
        <f aca="false">0</f>
        <v>0</v>
      </c>
      <c r="F15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0" customFormat="false" ht="15" hidden="false" customHeight="true" outlineLevel="0" collapsed="false">
      <c r="A160" s="23" t="n">
        <v>8</v>
      </c>
      <c r="B160" s="24" t="b">
        <f aca="false">A160&lt;=Inputs!$B$17</f>
        <v>0</v>
      </c>
      <c r="C160" s="25" t="n">
        <f aca="false">IF(A160=2,C159*(1-Inputs!$B$22),C159)</f>
        <v>0.3243</v>
      </c>
      <c r="D160" s="26" t="n">
        <f aca="false">IF(B160,C160*(VLOOKUP("40",Inputs!$A$29:$K$33,3,FALSE())*(Inputs!$B$25/14)*Inputs!$B$5+VLOOKUP("40",Inputs!$A$29:$K$33,4,FALSE())*(Inputs!$B$25/14)*Inputs!$B$12+VLOOKUP("40",Inputs!$A$29:$K$33,5,FALSE())*(Inputs!$B$25/14)*Inputs!$B$13)+(1-C160)*(VLOOKUP("40",Inputs!$A$29:$K$33,6,FALSE())*(Inputs!$B$25/14)*Inputs!$B$5+VLOOKUP("40",Inputs!$A$29:$K$33,7,FALSE())*(Inputs!$B$25/14)*Inputs!$B$12+VLOOKUP("40",Inputs!$A$29:$K$33,8,FALSE())*(Inputs!$B$25/14)*Inputs!$B$13),C160*((VLOOKUP("40",Inputs!$A$29:$K$33,3,FALSE())*(Inputs!$B$25/14)*Inputs!$B$5+VLOOKUP("40",Inputs!$A$29:$K$33,4,FALSE())*(Inputs!$B$25/14)*Inputs!$B$12+VLOOKUP("40",Inputs!$A$29:$K$33,5,FALSE())*(Inputs!$B$25/14)*Inputs!$B$13)+Inputs!$B$18)+(1-C160)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60" s="25" t="n">
        <f aca="false">0</f>
        <v>0</v>
      </c>
      <c r="F16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1" customFormat="false" ht="15" hidden="false" customHeight="true" outlineLevel="0" collapsed="false">
      <c r="A161" s="23" t="n">
        <v>9</v>
      </c>
      <c r="B161" s="24" t="b">
        <f aca="false">A161&lt;=Inputs!$B$17</f>
        <v>0</v>
      </c>
      <c r="C161" s="25" t="n">
        <f aca="false">IF(A161=2,C160*(1-Inputs!$B$22),C160)</f>
        <v>0.3243</v>
      </c>
      <c r="D161" s="26" t="n">
        <f aca="false">IF(B161,C161*(VLOOKUP("40",Inputs!$A$29:$K$33,3,FALSE())*(Inputs!$B$25/14)*Inputs!$B$5+VLOOKUP("40",Inputs!$A$29:$K$33,4,FALSE())*(Inputs!$B$25/14)*Inputs!$B$12+VLOOKUP("40",Inputs!$A$29:$K$33,5,FALSE())*(Inputs!$B$25/14)*Inputs!$B$13)+(1-C161)*(VLOOKUP("40",Inputs!$A$29:$K$33,6,FALSE())*(Inputs!$B$25/14)*Inputs!$B$5+VLOOKUP("40",Inputs!$A$29:$K$33,7,FALSE())*(Inputs!$B$25/14)*Inputs!$B$12+VLOOKUP("40",Inputs!$A$29:$K$33,8,FALSE())*(Inputs!$B$25/14)*Inputs!$B$13),C161*((VLOOKUP("40",Inputs!$A$29:$K$33,3,FALSE())*(Inputs!$B$25/14)*Inputs!$B$5+VLOOKUP("40",Inputs!$A$29:$K$33,4,FALSE())*(Inputs!$B$25/14)*Inputs!$B$12+VLOOKUP("40",Inputs!$A$29:$K$33,5,FALSE())*(Inputs!$B$25/14)*Inputs!$B$13)+Inputs!$B$18)+(1-C161)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61" s="25" t="n">
        <f aca="false">0</f>
        <v>0</v>
      </c>
      <c r="F16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2" customFormat="false" ht="15" hidden="false" customHeight="true" outlineLevel="0" collapsed="false">
      <c r="A162" s="23" t="n">
        <v>10</v>
      </c>
      <c r="B162" s="24" t="b">
        <f aca="false">A162&lt;=Inputs!$B$17</f>
        <v>0</v>
      </c>
      <c r="C162" s="25" t="n">
        <f aca="false">IF(A162=2,C161*(1-Inputs!$B$22),C161)</f>
        <v>0.3243</v>
      </c>
      <c r="D162" s="26" t="n">
        <f aca="false">IF(B162,C162*(VLOOKUP("40",Inputs!$A$29:$K$33,3,FALSE())*(Inputs!$B$25/14)*Inputs!$B$5+VLOOKUP("40",Inputs!$A$29:$K$33,4,FALSE())*(Inputs!$B$25/14)*Inputs!$B$12+VLOOKUP("40",Inputs!$A$29:$K$33,5,FALSE())*(Inputs!$B$25/14)*Inputs!$B$13)+(1-C162)*(VLOOKUP("40",Inputs!$A$29:$K$33,6,FALSE())*(Inputs!$B$25/14)*Inputs!$B$5+VLOOKUP("40",Inputs!$A$29:$K$33,7,FALSE())*(Inputs!$B$25/14)*Inputs!$B$12+VLOOKUP("40",Inputs!$A$29:$K$33,8,FALSE())*(Inputs!$B$25/14)*Inputs!$B$13),C162*((VLOOKUP("40",Inputs!$A$29:$K$33,3,FALSE())*(Inputs!$B$25/14)*Inputs!$B$5+VLOOKUP("40",Inputs!$A$29:$K$33,4,FALSE())*(Inputs!$B$25/14)*Inputs!$B$12+VLOOKUP("40",Inputs!$A$29:$K$33,5,FALSE())*(Inputs!$B$25/14)*Inputs!$B$13)+Inputs!$B$18)+(1-C162)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62" s="25" t="n">
        <f aca="false">0</f>
        <v>0</v>
      </c>
      <c r="F16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3" customFormat="false" ht="15" hidden="false" customHeight="true" outlineLevel="0" collapsed="false">
      <c r="A163" s="23" t="n">
        <v>11</v>
      </c>
      <c r="B163" s="24" t="b">
        <f aca="false">A163&lt;=Inputs!$B$17</f>
        <v>0</v>
      </c>
      <c r="C163" s="25" t="n">
        <f aca="false">IF(A163=2,C162*(1-Inputs!$B$22),C162)</f>
        <v>0.3243</v>
      </c>
      <c r="D163" s="26" t="n">
        <f aca="false">IF(B163,C163*(VLOOKUP("40",Inputs!$A$29:$K$33,3,FALSE())*(Inputs!$B$25/14)*Inputs!$B$5+VLOOKUP("40",Inputs!$A$29:$K$33,4,FALSE())*(Inputs!$B$25/14)*Inputs!$B$12+VLOOKUP("40",Inputs!$A$29:$K$33,5,FALSE())*(Inputs!$B$25/14)*Inputs!$B$13)+(1-C163)*(VLOOKUP("40",Inputs!$A$29:$K$33,6,FALSE())*(Inputs!$B$25/14)*Inputs!$B$5+VLOOKUP("40",Inputs!$A$29:$K$33,7,FALSE())*(Inputs!$B$25/14)*Inputs!$B$12+VLOOKUP("40",Inputs!$A$29:$K$33,8,FALSE())*(Inputs!$B$25/14)*Inputs!$B$13),C163*((VLOOKUP("40",Inputs!$A$29:$K$33,3,FALSE())*(Inputs!$B$25/14)*Inputs!$B$5+VLOOKUP("40",Inputs!$A$29:$K$33,4,FALSE())*(Inputs!$B$25/14)*Inputs!$B$12+VLOOKUP("40",Inputs!$A$29:$K$33,5,FALSE())*(Inputs!$B$25/14)*Inputs!$B$13)+Inputs!$B$18)+(1-C163)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63" s="25" t="n">
        <f aca="false">0</f>
        <v>0</v>
      </c>
      <c r="F16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4" customFormat="false" ht="15" hidden="false" customHeight="true" outlineLevel="0" collapsed="false">
      <c r="A164" s="23" t="n">
        <v>12</v>
      </c>
      <c r="B164" s="24" t="b">
        <f aca="false">A164&lt;=Inputs!$B$17</f>
        <v>0</v>
      </c>
      <c r="C164" s="25" t="n">
        <f aca="false">IF(A164=2,C163*(1-Inputs!$B$22),C163)</f>
        <v>0.3243</v>
      </c>
      <c r="D164" s="26" t="n">
        <f aca="false">IF(B164,C164*(VLOOKUP("40",Inputs!$A$29:$K$33,3,FALSE())*(Inputs!$B$25/14)*Inputs!$B$5+VLOOKUP("40",Inputs!$A$29:$K$33,4,FALSE())*(Inputs!$B$25/14)*Inputs!$B$12+VLOOKUP("40",Inputs!$A$29:$K$33,5,FALSE())*(Inputs!$B$25/14)*Inputs!$B$13)+(1-C164)*(VLOOKUP("40",Inputs!$A$29:$K$33,6,FALSE())*(Inputs!$B$25/14)*Inputs!$B$5+VLOOKUP("40",Inputs!$A$29:$K$33,7,FALSE())*(Inputs!$B$25/14)*Inputs!$B$12+VLOOKUP("40",Inputs!$A$29:$K$33,8,FALSE())*(Inputs!$B$25/14)*Inputs!$B$13),C164*((VLOOKUP("40",Inputs!$A$29:$K$33,3,FALSE())*(Inputs!$B$25/14)*Inputs!$B$5+VLOOKUP("40",Inputs!$A$29:$K$33,4,FALSE())*(Inputs!$B$25/14)*Inputs!$B$12+VLOOKUP("40",Inputs!$A$29:$K$33,5,FALSE())*(Inputs!$B$25/14)*Inputs!$B$13)+Inputs!$B$18)+(1-C164)*((VLOOKUP("40",Inputs!$A$29:$K$33,9,FALSE())*(Inputs!$B$25/14)*Inputs!$B$5+VLOOKUP("40",Inputs!$A$29:$K$33,10,FALSE())*(Inputs!$B$25/14)*Inputs!$B$12+VLOOKUP("40",Inputs!$A$29:$K$33,11,FALSE())*(Inputs!$B$25/14)*Inputs!$B$13)))</f>
        <v>236.965934679575</v>
      </c>
      <c r="E164" s="25" t="n">
        <f aca="false">0</f>
        <v>0</v>
      </c>
      <c r="F16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65" customFormat="false" ht="15" hidden="false" customHeight="true" outlineLevel="0" collapsed="false">
      <c r="A165" s="27" t="s">
        <v>125</v>
      </c>
      <c r="D165" s="28" t="n">
        <f aca="false">SUM(D153:D164)</f>
        <v>2653.13326675136</v>
      </c>
      <c r="F165" s="28" t="n">
        <f aca="false">SUM(F153:F164)</f>
        <v>3915.17838956203</v>
      </c>
    </row>
    <row r="167" customFormat="false" ht="15" hidden="false" customHeight="true" outlineLevel="0" collapsed="false">
      <c r="A167" s="27" t="s">
        <v>157</v>
      </c>
    </row>
    <row r="168" customFormat="false" ht="21.75" hidden="false" customHeight="true" outlineLevel="0" collapsed="false">
      <c r="A168" s="43" t="s">
        <v>92</v>
      </c>
      <c r="B168" s="43" t="s">
        <v>145</v>
      </c>
      <c r="C168" s="43" t="s">
        <v>146</v>
      </c>
      <c r="D168" s="43" t="s">
        <v>147</v>
      </c>
      <c r="E168" s="43" t="s">
        <v>148</v>
      </c>
      <c r="F168" s="43" t="s">
        <v>149</v>
      </c>
    </row>
    <row r="169" customFormat="false" ht="15" hidden="false" customHeight="true" outlineLevel="0" collapsed="false">
      <c r="A169" s="23" t="n">
        <v>1</v>
      </c>
      <c r="B169" s="24" t="b">
        <f aca="false">A169&lt;=Inputs!$B$17</f>
        <v>1</v>
      </c>
      <c r="C169" s="25" t="n">
        <f aca="false">VLOOKUP("40",Inputs!$A$29:$K$33,2,FALSE())</f>
        <v>0.47</v>
      </c>
      <c r="D169" s="26" t="n">
        <f aca="false">IF(B169,C169*(VLOOKUP("40",Inputs!$A$29:$K$33,3,FALSE())*(Inputs!$B$25/14)*Inputs!$B$5+VLOOKUP("40",Inputs!$A$29:$K$33,4,FALSE())*(Inputs!$B$25/14)*Inputs!$B$12+VLOOKUP("40",Inputs!$A$29:$K$33,5,FALSE())*(Inputs!$B$25/14)*Inputs!$B$13)+(1-C169)*(VLOOKUP("40",Inputs!$A$29:$K$33,6,FALSE())*(Inputs!$B$25/14)*Inputs!$B$5+VLOOKUP("40",Inputs!$A$29:$K$33,7,FALSE())*(Inputs!$B$25/14)*Inputs!$B$12+VLOOKUP("40",Inputs!$A$29:$K$33,8,FALSE())*(Inputs!$B$25/14)*Inputs!$B$13),C169*((VLOOKUP("40",Inputs!$A$29:$K$33,3,FALSE())*(Inputs!$B$25/14)*Inputs!$B$5+VLOOKUP("40",Inputs!$A$29:$K$33,4,FALSE())*(Inputs!$B$25/14)*Inputs!$B$12+VLOOKUP("40",Inputs!$A$29:$K$33,5,FALSE())*(Inputs!$B$25/14)*Inputs!$B$13)+Inputs!$B$18)+(1-C169)*((INDEX(Inputs!$A$37:$C$37,1,1)*(Inputs!$B$25/14)*Inputs!$B$5+INDEX(Inputs!$A$37:$C$37,1,2)*(Inputs!$B$25/14)*Inputs!$B$12+INDEX(Inputs!$A$37:$C$37,1,3)*(Inputs!$B$25/14)*Inputs!$B$13)))</f>
        <v>167.543640939866</v>
      </c>
      <c r="E169" s="25" t="n">
        <f aca="false">Inputs!$B$21</f>
        <v>0.083</v>
      </c>
      <c r="F169" s="26" t="n">
        <f aca="false">E169*(VLOOKUP("40",Inputs!$A$29:$K$33,3,FALSE())*(Inputs!$B$25/14)*Inputs!$B$5+VLOOKUP("40",Inputs!$A$29:$K$33,4,FALSE())*(Inputs!$B$25/14)*Inputs!$B$12+VLOOKUP("40",Inputs!$A$29:$K$33,5,FALSE())*(Inputs!$B$25/14)*Inputs!$B$13)+(1-E169)*(INDEX(Inputs!$A$37:$C$37,1,1)*(Inputs!$B$25/14)*Inputs!$B$5+INDEX(Inputs!$A$37:$C$37,1,2)*(Inputs!$B$25/14)*Inputs!$B$12+INDEX(Inputs!$A$37:$C$37,1,3)*(Inputs!$B$25/14)*Inputs!$B$13)</f>
        <v>311.623139673638</v>
      </c>
    </row>
    <row r="170" customFormat="false" ht="15" hidden="false" customHeight="true" outlineLevel="0" collapsed="false">
      <c r="A170" s="23" t="n">
        <v>2</v>
      </c>
      <c r="B170" s="24" t="b">
        <f aca="false">A170&lt;=Inputs!$B$17</f>
        <v>1</v>
      </c>
      <c r="C170" s="25" t="n">
        <f aca="false">C169*(1-Inputs!$B$22)</f>
        <v>0.3243</v>
      </c>
      <c r="D170" s="26" t="n">
        <f aca="false">IF(B170,C170*(VLOOKUP("40",Inputs!$A$29:$K$33,3,FALSE())*(Inputs!$B$25/14)*Inputs!$B$5+VLOOKUP("40",Inputs!$A$29:$K$33,4,FALSE())*(Inputs!$B$25/14)*Inputs!$B$12+VLOOKUP("40",Inputs!$A$29:$K$33,5,FALSE())*(Inputs!$B$25/14)*Inputs!$B$13)+(1-C170)*(VLOOKUP("40",Inputs!$A$29:$K$33,6,FALSE())*(Inputs!$B$25/14)*Inputs!$B$5+VLOOKUP("40",Inputs!$A$29:$K$33,7,FALSE())*(Inputs!$B$25/14)*Inputs!$B$12+VLOOKUP("40",Inputs!$A$29:$K$33,8,FALSE())*(Inputs!$B$25/14)*Inputs!$B$13),C170*((VLOOKUP("40",Inputs!$A$29:$K$33,3,FALSE())*(Inputs!$B$25/14)*Inputs!$B$5+VLOOKUP("40",Inputs!$A$29:$K$33,4,FALSE())*(Inputs!$B$25/14)*Inputs!$B$12+VLOOKUP("40",Inputs!$A$29:$K$33,5,FALSE())*(Inputs!$B$25/14)*Inputs!$B$13)+Inputs!$B$18)+(1-C170)*((INDEX(Inputs!$A$37:$C$37,1,1)*(Inputs!$B$25/14)*Inputs!$B$5+INDEX(Inputs!$A$37:$C$37,1,2)*(Inputs!$B$25/14)*Inputs!$B$12+INDEX(Inputs!$A$37:$C$37,1,3)*(Inputs!$B$25/14)*Inputs!$B$13)))</f>
        <v>176.448106847659</v>
      </c>
      <c r="E170" s="25" t="n">
        <f aca="false">0</f>
        <v>0</v>
      </c>
      <c r="F17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1" customFormat="false" ht="15" hidden="false" customHeight="true" outlineLevel="0" collapsed="false">
      <c r="A171" s="23" t="n">
        <v>3</v>
      </c>
      <c r="B171" s="24" t="b">
        <f aca="false">A171&lt;=Inputs!$B$17</f>
        <v>1</v>
      </c>
      <c r="C171" s="25" t="n">
        <f aca="false">C170*(1-Inputs!$B$22)</f>
        <v>0.223767</v>
      </c>
      <c r="D171" s="26" t="n">
        <f aca="false">IF(B171,C171*(VLOOKUP("40",Inputs!$A$29:$K$33,3,FALSE())*(Inputs!$B$25/14)*Inputs!$B$5+VLOOKUP("40",Inputs!$A$29:$K$33,4,FALSE())*(Inputs!$B$25/14)*Inputs!$B$12+VLOOKUP("40",Inputs!$A$29:$K$33,5,FALSE())*(Inputs!$B$25/14)*Inputs!$B$13)+(1-C171)*(VLOOKUP("40",Inputs!$A$29:$K$33,6,FALSE())*(Inputs!$B$25/14)*Inputs!$B$5+VLOOKUP("40",Inputs!$A$29:$K$33,7,FALSE())*(Inputs!$B$25/14)*Inputs!$B$12+VLOOKUP("40",Inputs!$A$29:$K$33,8,FALSE())*(Inputs!$B$25/14)*Inputs!$B$13),C171*((VLOOKUP("40",Inputs!$A$29:$K$33,3,FALSE())*(Inputs!$B$25/14)*Inputs!$B$5+VLOOKUP("40",Inputs!$A$29:$K$33,4,FALSE())*(Inputs!$B$25/14)*Inputs!$B$12+VLOOKUP("40",Inputs!$A$29:$K$33,5,FALSE())*(Inputs!$B$25/14)*Inputs!$B$13)+Inputs!$B$18)+(1-C171)*((INDEX(Inputs!$A$37:$C$37,1,1)*(Inputs!$B$25/14)*Inputs!$B$5+INDEX(Inputs!$A$37:$C$37,1,2)*(Inputs!$B$25/14)*Inputs!$B$12+INDEX(Inputs!$A$37:$C$37,1,3)*(Inputs!$B$25/14)*Inputs!$B$13)))</f>
        <v>182.592188324037</v>
      </c>
      <c r="E171" s="25" t="n">
        <f aca="false">0</f>
        <v>0</v>
      </c>
      <c r="F17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2" customFormat="false" ht="15" hidden="false" customHeight="true" outlineLevel="0" collapsed="false">
      <c r="A172" s="23" t="n">
        <v>4</v>
      </c>
      <c r="B172" s="24" t="b">
        <f aca="false">A172&lt;=Inputs!$B$17</f>
        <v>0</v>
      </c>
      <c r="C172" s="25" t="n">
        <f aca="false">C171*(1-Inputs!$B$22)</f>
        <v>0.15439923</v>
      </c>
      <c r="D172" s="26" t="n">
        <f aca="false">IF(B172,C172*(VLOOKUP("40",Inputs!$A$29:$K$33,3,FALSE())*(Inputs!$B$25/14)*Inputs!$B$5+VLOOKUP("40",Inputs!$A$29:$K$33,4,FALSE())*(Inputs!$B$25/14)*Inputs!$B$12+VLOOKUP("40",Inputs!$A$29:$K$33,5,FALSE())*(Inputs!$B$25/14)*Inputs!$B$13)+(1-C172)*(VLOOKUP("40",Inputs!$A$29:$K$33,6,FALSE())*(Inputs!$B$25/14)*Inputs!$B$5+VLOOKUP("40",Inputs!$A$29:$K$33,7,FALSE())*(Inputs!$B$25/14)*Inputs!$B$12+VLOOKUP("40",Inputs!$A$29:$K$33,8,FALSE())*(Inputs!$B$25/14)*Inputs!$B$13),C172*((VLOOKUP("40",Inputs!$A$29:$K$33,3,FALSE())*(Inputs!$B$25/14)*Inputs!$B$5+VLOOKUP("40",Inputs!$A$29:$K$33,4,FALSE())*(Inputs!$B$25/14)*Inputs!$B$12+VLOOKUP("40",Inputs!$A$29:$K$33,5,FALSE())*(Inputs!$B$25/14)*Inputs!$B$13)+Inputs!$B$18)+(1-C172)*((INDEX(Inputs!$A$37:$C$37,1,1)*(Inputs!$B$25/14)*Inputs!$B$5+INDEX(Inputs!$A$37:$C$37,1,2)*(Inputs!$B$25/14)*Inputs!$B$12+INDEX(Inputs!$A$37:$C$37,1,3)*(Inputs!$B$25/14)*Inputs!$B$13)))</f>
        <v>330.049344003807</v>
      </c>
      <c r="E172" s="25" t="n">
        <f aca="false">0</f>
        <v>0</v>
      </c>
      <c r="F17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3" customFormat="false" ht="15" hidden="false" customHeight="true" outlineLevel="0" collapsed="false">
      <c r="A173" s="23" t="n">
        <v>5</v>
      </c>
      <c r="B173" s="24" t="b">
        <f aca="false">A173&lt;=Inputs!$B$17</f>
        <v>0</v>
      </c>
      <c r="C173" s="25" t="n">
        <f aca="false">C172*(1-Inputs!$B$22)</f>
        <v>0.1065354687</v>
      </c>
      <c r="D173" s="26" t="n">
        <f aca="false">IF(B173,C173*(VLOOKUP("40",Inputs!$A$29:$K$33,3,FALSE())*(Inputs!$B$25/14)*Inputs!$B$5+VLOOKUP("40",Inputs!$A$29:$K$33,4,FALSE())*(Inputs!$B$25/14)*Inputs!$B$12+VLOOKUP("40",Inputs!$A$29:$K$33,5,FALSE())*(Inputs!$B$25/14)*Inputs!$B$13)+(1-C173)*(VLOOKUP("40",Inputs!$A$29:$K$33,6,FALSE())*(Inputs!$B$25/14)*Inputs!$B$5+VLOOKUP("40",Inputs!$A$29:$K$33,7,FALSE())*(Inputs!$B$25/14)*Inputs!$B$12+VLOOKUP("40",Inputs!$A$29:$K$33,8,FALSE())*(Inputs!$B$25/14)*Inputs!$B$13),C173*((VLOOKUP("40",Inputs!$A$29:$K$33,3,FALSE())*(Inputs!$B$25/14)*Inputs!$B$5+VLOOKUP("40",Inputs!$A$29:$K$33,4,FALSE())*(Inputs!$B$25/14)*Inputs!$B$12+VLOOKUP("40",Inputs!$A$29:$K$33,5,FALSE())*(Inputs!$B$25/14)*Inputs!$B$13)+Inputs!$B$18)+(1-C173)*((INDEX(Inputs!$A$37:$C$37,1,1)*(Inputs!$B$25/14)*Inputs!$B$5+INDEX(Inputs!$A$37:$C$37,1,2)*(Inputs!$B$25/14)*Inputs!$B$12+INDEX(Inputs!$A$37:$C$37,1,3)*(Inputs!$B$25/14)*Inputs!$B$13)))</f>
        <v>329.288786223118</v>
      </c>
      <c r="E173" s="25" t="n">
        <f aca="false">0</f>
        <v>0</v>
      </c>
      <c r="F17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4" customFormat="false" ht="15" hidden="false" customHeight="true" outlineLevel="0" collapsed="false">
      <c r="A174" s="23" t="n">
        <v>6</v>
      </c>
      <c r="B174" s="24" t="b">
        <f aca="false">A174&lt;=Inputs!$B$17</f>
        <v>0</v>
      </c>
      <c r="C174" s="25" t="n">
        <f aca="false">C173*(1-Inputs!$B$22)</f>
        <v>0.073509473403</v>
      </c>
      <c r="D174" s="26" t="n">
        <f aca="false">IF(B174,C174*(VLOOKUP("40",Inputs!$A$29:$K$33,3,FALSE())*(Inputs!$B$25/14)*Inputs!$B$5+VLOOKUP("40",Inputs!$A$29:$K$33,4,FALSE())*(Inputs!$B$25/14)*Inputs!$B$12+VLOOKUP("40",Inputs!$A$29:$K$33,5,FALSE())*(Inputs!$B$25/14)*Inputs!$B$13)+(1-C174)*(VLOOKUP("40",Inputs!$A$29:$K$33,6,FALSE())*(Inputs!$B$25/14)*Inputs!$B$5+VLOOKUP("40",Inputs!$A$29:$K$33,7,FALSE())*(Inputs!$B$25/14)*Inputs!$B$12+VLOOKUP("40",Inputs!$A$29:$K$33,8,FALSE())*(Inputs!$B$25/14)*Inputs!$B$13),C174*((VLOOKUP("40",Inputs!$A$29:$K$33,3,FALSE())*(Inputs!$B$25/14)*Inputs!$B$5+VLOOKUP("40",Inputs!$A$29:$K$33,4,FALSE())*(Inputs!$B$25/14)*Inputs!$B$12+VLOOKUP("40",Inputs!$A$29:$K$33,5,FALSE())*(Inputs!$B$25/14)*Inputs!$B$13)+Inputs!$B$18)+(1-C174)*((INDEX(Inputs!$A$37:$C$37,1,1)*(Inputs!$B$25/14)*Inputs!$B$5+INDEX(Inputs!$A$37:$C$37,1,2)*(Inputs!$B$25/14)*Inputs!$B$12+INDEX(Inputs!$A$37:$C$37,1,3)*(Inputs!$B$25/14)*Inputs!$B$13)))</f>
        <v>328.764001354442</v>
      </c>
      <c r="E174" s="25" t="n">
        <f aca="false">0</f>
        <v>0</v>
      </c>
      <c r="F17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5" customFormat="false" ht="15" hidden="false" customHeight="true" outlineLevel="0" collapsed="false">
      <c r="A175" s="23" t="n">
        <v>7</v>
      </c>
      <c r="B175" s="24" t="b">
        <f aca="false">A175&lt;=Inputs!$B$17</f>
        <v>0</v>
      </c>
      <c r="C175" s="25" t="n">
        <f aca="false">C174*(1-Inputs!$B$22)</f>
        <v>0.05072153664807</v>
      </c>
      <c r="D175" s="26" t="n">
        <f aca="false">IF(B175,C175*(VLOOKUP("40",Inputs!$A$29:$K$33,3,FALSE())*(Inputs!$B$25/14)*Inputs!$B$5+VLOOKUP("40",Inputs!$A$29:$K$33,4,FALSE())*(Inputs!$B$25/14)*Inputs!$B$12+VLOOKUP("40",Inputs!$A$29:$K$33,5,FALSE())*(Inputs!$B$25/14)*Inputs!$B$13)+(1-C175)*(VLOOKUP("40",Inputs!$A$29:$K$33,6,FALSE())*(Inputs!$B$25/14)*Inputs!$B$5+VLOOKUP("40",Inputs!$A$29:$K$33,7,FALSE())*(Inputs!$B$25/14)*Inputs!$B$12+VLOOKUP("40",Inputs!$A$29:$K$33,8,FALSE())*(Inputs!$B$25/14)*Inputs!$B$13),C175*((VLOOKUP("40",Inputs!$A$29:$K$33,3,FALSE())*(Inputs!$B$25/14)*Inputs!$B$5+VLOOKUP("40",Inputs!$A$29:$K$33,4,FALSE())*(Inputs!$B$25/14)*Inputs!$B$12+VLOOKUP("40",Inputs!$A$29:$K$33,5,FALSE())*(Inputs!$B$25/14)*Inputs!$B$13)+Inputs!$B$18)+(1-C175)*((INDEX(Inputs!$A$37:$C$37,1,1)*(Inputs!$B$25/14)*Inputs!$B$5+INDEX(Inputs!$A$37:$C$37,1,2)*(Inputs!$B$25/14)*Inputs!$B$12+INDEX(Inputs!$A$37:$C$37,1,3)*(Inputs!$B$25/14)*Inputs!$B$13)))</f>
        <v>328.401899795056</v>
      </c>
      <c r="E175" s="25" t="n">
        <f aca="false">0</f>
        <v>0</v>
      </c>
      <c r="F17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6" customFormat="false" ht="15" hidden="false" customHeight="true" outlineLevel="0" collapsed="false">
      <c r="A176" s="23" t="n">
        <v>8</v>
      </c>
      <c r="B176" s="24" t="b">
        <f aca="false">A176&lt;=Inputs!$B$17</f>
        <v>0</v>
      </c>
      <c r="C176" s="25" t="n">
        <f aca="false">C175*(1-Inputs!$B$22)</f>
        <v>0.0349978602871683</v>
      </c>
      <c r="D176" s="26" t="n">
        <f aca="false">IF(B176,C176*(VLOOKUP("40",Inputs!$A$29:$K$33,3,FALSE())*(Inputs!$B$25/14)*Inputs!$B$5+VLOOKUP("40",Inputs!$A$29:$K$33,4,FALSE())*(Inputs!$B$25/14)*Inputs!$B$12+VLOOKUP("40",Inputs!$A$29:$K$33,5,FALSE())*(Inputs!$B$25/14)*Inputs!$B$13)+(1-C176)*(VLOOKUP("40",Inputs!$A$29:$K$33,6,FALSE())*(Inputs!$B$25/14)*Inputs!$B$5+VLOOKUP("40",Inputs!$A$29:$K$33,7,FALSE())*(Inputs!$B$25/14)*Inputs!$B$12+VLOOKUP("40",Inputs!$A$29:$K$33,8,FALSE())*(Inputs!$B$25/14)*Inputs!$B$13),C176*((VLOOKUP("40",Inputs!$A$29:$K$33,3,FALSE())*(Inputs!$B$25/14)*Inputs!$B$5+VLOOKUP("40",Inputs!$A$29:$K$33,4,FALSE())*(Inputs!$B$25/14)*Inputs!$B$12+VLOOKUP("40",Inputs!$A$29:$K$33,5,FALSE())*(Inputs!$B$25/14)*Inputs!$B$13)+Inputs!$B$18)+(1-C176)*((INDEX(Inputs!$A$37:$C$37,1,1)*(Inputs!$B$25/14)*Inputs!$B$5+INDEX(Inputs!$A$37:$C$37,1,2)*(Inputs!$B$25/14)*Inputs!$B$12+INDEX(Inputs!$A$37:$C$37,1,3)*(Inputs!$B$25/14)*Inputs!$B$13)))</f>
        <v>328.15204971908</v>
      </c>
      <c r="E176" s="25" t="n">
        <f aca="false">0</f>
        <v>0</v>
      </c>
      <c r="F17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7" customFormat="false" ht="15" hidden="false" customHeight="true" outlineLevel="0" collapsed="false">
      <c r="A177" s="23" t="n">
        <v>9</v>
      </c>
      <c r="B177" s="24" t="b">
        <f aca="false">A177&lt;=Inputs!$B$17</f>
        <v>0</v>
      </c>
      <c r="C177" s="25" t="n">
        <f aca="false">C176*(1-Inputs!$B$22)</f>
        <v>0.0241485235981461</v>
      </c>
      <c r="D177" s="26" t="n">
        <f aca="false">IF(B177,C177*(VLOOKUP("40",Inputs!$A$29:$K$33,3,FALSE())*(Inputs!$B$25/14)*Inputs!$B$5+VLOOKUP("40",Inputs!$A$29:$K$33,4,FALSE())*(Inputs!$B$25/14)*Inputs!$B$12+VLOOKUP("40",Inputs!$A$29:$K$33,5,FALSE())*(Inputs!$B$25/14)*Inputs!$B$13)+(1-C177)*(VLOOKUP("40",Inputs!$A$29:$K$33,6,FALSE())*(Inputs!$B$25/14)*Inputs!$B$5+VLOOKUP("40",Inputs!$A$29:$K$33,7,FALSE())*(Inputs!$B$25/14)*Inputs!$B$12+VLOOKUP("40",Inputs!$A$29:$K$33,8,FALSE())*(Inputs!$B$25/14)*Inputs!$B$13),C177*((VLOOKUP("40",Inputs!$A$29:$K$33,3,FALSE())*(Inputs!$B$25/14)*Inputs!$B$5+VLOOKUP("40",Inputs!$A$29:$K$33,4,FALSE())*(Inputs!$B$25/14)*Inputs!$B$12+VLOOKUP("40",Inputs!$A$29:$K$33,5,FALSE())*(Inputs!$B$25/14)*Inputs!$B$13)+Inputs!$B$18)+(1-C177)*((INDEX(Inputs!$A$37:$C$37,1,1)*(Inputs!$B$25/14)*Inputs!$B$5+INDEX(Inputs!$A$37:$C$37,1,2)*(Inputs!$B$25/14)*Inputs!$B$12+INDEX(Inputs!$A$37:$C$37,1,3)*(Inputs!$B$25/14)*Inputs!$B$13)))</f>
        <v>327.979653166656</v>
      </c>
      <c r="E177" s="25" t="n">
        <f aca="false">0</f>
        <v>0</v>
      </c>
      <c r="F17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8" customFormat="false" ht="15" hidden="false" customHeight="true" outlineLevel="0" collapsed="false">
      <c r="A178" s="23" t="n">
        <v>10</v>
      </c>
      <c r="B178" s="24" t="b">
        <f aca="false">A178&lt;=Inputs!$B$17</f>
        <v>0</v>
      </c>
      <c r="C178" s="25" t="n">
        <f aca="false">C177*(1-Inputs!$B$22)</f>
        <v>0.0166624812827208</v>
      </c>
      <c r="D178" s="26" t="n">
        <f aca="false">IF(B178,C178*(VLOOKUP("40",Inputs!$A$29:$K$33,3,FALSE())*(Inputs!$B$25/14)*Inputs!$B$5+VLOOKUP("40",Inputs!$A$29:$K$33,4,FALSE())*(Inputs!$B$25/14)*Inputs!$B$12+VLOOKUP("40",Inputs!$A$29:$K$33,5,FALSE())*(Inputs!$B$25/14)*Inputs!$B$13)+(1-C178)*(VLOOKUP("40",Inputs!$A$29:$K$33,6,FALSE())*(Inputs!$B$25/14)*Inputs!$B$5+VLOOKUP("40",Inputs!$A$29:$K$33,7,FALSE())*(Inputs!$B$25/14)*Inputs!$B$12+VLOOKUP("40",Inputs!$A$29:$K$33,8,FALSE())*(Inputs!$B$25/14)*Inputs!$B$13),C178*((VLOOKUP("40",Inputs!$A$29:$K$33,3,FALSE())*(Inputs!$B$25/14)*Inputs!$B$5+VLOOKUP("40",Inputs!$A$29:$K$33,4,FALSE())*(Inputs!$B$25/14)*Inputs!$B$12+VLOOKUP("40",Inputs!$A$29:$K$33,5,FALSE())*(Inputs!$B$25/14)*Inputs!$B$13)+Inputs!$B$18)+(1-C178)*((INDEX(Inputs!$A$37:$C$37,1,1)*(Inputs!$B$25/14)*Inputs!$B$5+INDEX(Inputs!$A$37:$C$37,1,2)*(Inputs!$B$25/14)*Inputs!$B$12+INDEX(Inputs!$A$37:$C$37,1,3)*(Inputs!$B$25/14)*Inputs!$B$13)))</f>
        <v>327.860699545484</v>
      </c>
      <c r="E178" s="25" t="n">
        <f aca="false">0</f>
        <v>0</v>
      </c>
      <c r="F17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79" customFormat="false" ht="15" hidden="false" customHeight="true" outlineLevel="0" collapsed="false">
      <c r="A179" s="23" t="n">
        <v>11</v>
      </c>
      <c r="B179" s="24" t="b">
        <f aca="false">A179&lt;=Inputs!$B$17</f>
        <v>0</v>
      </c>
      <c r="C179" s="25" t="n">
        <f aca="false">C178*(1-Inputs!$B$22)</f>
        <v>0.0114971120850774</v>
      </c>
      <c r="D179" s="26" t="n">
        <f aca="false">IF(B179,C179*(VLOOKUP("40",Inputs!$A$29:$K$33,3,FALSE())*(Inputs!$B$25/14)*Inputs!$B$5+VLOOKUP("40",Inputs!$A$29:$K$33,4,FALSE())*(Inputs!$B$25/14)*Inputs!$B$12+VLOOKUP("40",Inputs!$A$29:$K$33,5,FALSE())*(Inputs!$B$25/14)*Inputs!$B$13)+(1-C179)*(VLOOKUP("40",Inputs!$A$29:$K$33,6,FALSE())*(Inputs!$B$25/14)*Inputs!$B$5+VLOOKUP("40",Inputs!$A$29:$K$33,7,FALSE())*(Inputs!$B$25/14)*Inputs!$B$12+VLOOKUP("40",Inputs!$A$29:$K$33,8,FALSE())*(Inputs!$B$25/14)*Inputs!$B$13),C179*((VLOOKUP("40",Inputs!$A$29:$K$33,3,FALSE())*(Inputs!$B$25/14)*Inputs!$B$5+VLOOKUP("40",Inputs!$A$29:$K$33,4,FALSE())*(Inputs!$B$25/14)*Inputs!$B$12+VLOOKUP("40",Inputs!$A$29:$K$33,5,FALSE())*(Inputs!$B$25/14)*Inputs!$B$13)+Inputs!$B$18)+(1-C179)*((INDEX(Inputs!$A$37:$C$37,1,1)*(Inputs!$B$25/14)*Inputs!$B$5+INDEX(Inputs!$A$37:$C$37,1,2)*(Inputs!$B$25/14)*Inputs!$B$12+INDEX(Inputs!$A$37:$C$37,1,3)*(Inputs!$B$25/14)*Inputs!$B$13)))</f>
        <v>327.778621546875</v>
      </c>
      <c r="E179" s="25" t="n">
        <f aca="false">0</f>
        <v>0</v>
      </c>
      <c r="F17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80" customFormat="false" ht="15" hidden="false" customHeight="true" outlineLevel="0" collapsed="false">
      <c r="A180" s="23" t="n">
        <v>12</v>
      </c>
      <c r="B180" s="24" t="b">
        <f aca="false">A180&lt;=Inputs!$B$17</f>
        <v>0</v>
      </c>
      <c r="C180" s="25" t="n">
        <f aca="false">C179*(1-Inputs!$B$22)</f>
        <v>0.00793300733870338</v>
      </c>
      <c r="D180" s="26" t="n">
        <f aca="false">IF(B180,C180*(VLOOKUP("40",Inputs!$A$29:$K$33,3,FALSE())*(Inputs!$B$25/14)*Inputs!$B$5+VLOOKUP("40",Inputs!$A$29:$K$33,4,FALSE())*(Inputs!$B$25/14)*Inputs!$B$12+VLOOKUP("40",Inputs!$A$29:$K$33,5,FALSE())*(Inputs!$B$25/14)*Inputs!$B$13)+(1-C180)*(VLOOKUP("40",Inputs!$A$29:$K$33,6,FALSE())*(Inputs!$B$25/14)*Inputs!$B$5+VLOOKUP("40",Inputs!$A$29:$K$33,7,FALSE())*(Inputs!$B$25/14)*Inputs!$B$12+VLOOKUP("40",Inputs!$A$29:$K$33,8,FALSE())*(Inputs!$B$25/14)*Inputs!$B$13),C180*((VLOOKUP("40",Inputs!$A$29:$K$33,3,FALSE())*(Inputs!$B$25/14)*Inputs!$B$5+VLOOKUP("40",Inputs!$A$29:$K$33,4,FALSE())*(Inputs!$B$25/14)*Inputs!$B$12+VLOOKUP("40",Inputs!$A$29:$K$33,5,FALSE())*(Inputs!$B$25/14)*Inputs!$B$13)+Inputs!$B$18)+(1-C180)*((INDEX(Inputs!$A$37:$C$37,1,1)*(Inputs!$B$25/14)*Inputs!$B$5+INDEX(Inputs!$A$37:$C$37,1,2)*(Inputs!$B$25/14)*Inputs!$B$12+INDEX(Inputs!$A$37:$C$37,1,3)*(Inputs!$B$25/14)*Inputs!$B$13)))</f>
        <v>327.721987727835</v>
      </c>
      <c r="E180" s="25" t="n">
        <f aca="false">0</f>
        <v>0</v>
      </c>
      <c r="F18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81" customFormat="false" ht="15" hidden="false" customHeight="true" outlineLevel="0" collapsed="false">
      <c r="A181" s="27" t="s">
        <v>125</v>
      </c>
      <c r="D181" s="28" t="n">
        <f aca="false">SUM(D169:D180)</f>
        <v>3482.58097919391</v>
      </c>
      <c r="F181" s="28" t="n">
        <f aca="false">SUM(F169:F180)</f>
        <v>3915.17838956203</v>
      </c>
    </row>
    <row r="183" customFormat="false" ht="15" hidden="false" customHeight="true" outlineLevel="0" collapsed="false">
      <c r="A183" s="27" t="s">
        <v>158</v>
      </c>
    </row>
    <row r="184" customFormat="false" ht="21.75" hidden="false" customHeight="true" outlineLevel="0" collapsed="false">
      <c r="A184" s="43" t="s">
        <v>92</v>
      </c>
      <c r="B184" s="43" t="s">
        <v>145</v>
      </c>
      <c r="C184" s="43" t="s">
        <v>146</v>
      </c>
      <c r="D184" s="43" t="s">
        <v>147</v>
      </c>
      <c r="E184" s="43" t="s">
        <v>148</v>
      </c>
      <c r="F184" s="43" t="s">
        <v>149</v>
      </c>
    </row>
    <row r="185" customFormat="false" ht="15" hidden="false" customHeight="true" outlineLevel="0" collapsed="false">
      <c r="A185" s="23" t="n">
        <v>1</v>
      </c>
      <c r="B185" s="24" t="b">
        <f aca="false">A185&lt;=Inputs!$B$17</f>
        <v>1</v>
      </c>
      <c r="C185" s="25" t="n">
        <f aca="false">VLOOKUP("40",Inputs!$A$29:$K$33,2,FALSE())</f>
        <v>0.47</v>
      </c>
      <c r="D185" s="26" t="n">
        <f aca="false">IF(B185,C185*(VLOOKUP("40",Inputs!$A$29:$K$33,3,FALSE())*(Inputs!$B$25/14)*Inputs!$B$5+VLOOKUP("40",Inputs!$A$29:$K$33,4,FALSE())*(Inputs!$B$25/14)*Inputs!$B$12+VLOOKUP("40",Inputs!$A$29:$K$33,5,FALSE())*(Inputs!$B$25/14)*Inputs!$B$13)+(1-C185)*(VLOOKUP("40",Inputs!$A$29:$K$33,6,FALSE())*(Inputs!$B$25/14)*Inputs!$B$5+VLOOKUP("40",Inputs!$A$29:$K$33,7,FALSE())*(Inputs!$B$25/14)*Inputs!$B$12+VLOOKUP("40",Inputs!$A$29:$K$33,8,FALSE())*(Inputs!$B$25/14)*Inputs!$B$13),C185*((VLOOKUP("40",Inputs!$A$29:$K$33,3,FALSE())*(Inputs!$B$25/14)*Inputs!$B$5+VLOOKUP("40",Inputs!$A$29:$K$33,4,FALSE())*(Inputs!$B$25/14)*Inputs!$B$12+VLOOKUP("40",Inputs!$A$29:$K$33,5,FALSE())*(Inputs!$B$25/14)*Inputs!$B$13)+Inputs!$B$18)+(1-C185)*((VLOOKUP("40",Inputs!$A$29:$K$33,9,FALSE())*(Inputs!$B$25/14)*Inputs!$B$5+VLOOKUP("40",Inputs!$A$29:$K$33,10,FALSE())*(Inputs!$B$25/14)*Inputs!$B$12+VLOOKUP("40",Inputs!$A$29:$K$33,11,FALSE())*(Inputs!$B$25/14)*Inputs!$B$13)))</f>
        <v>167.543640939866</v>
      </c>
      <c r="E185" s="25" t="n">
        <f aca="false">Inputs!$B$21</f>
        <v>0.083</v>
      </c>
      <c r="F185" s="26" t="n">
        <f aca="false">E185*(VLOOKUP("40",Inputs!$A$29:$K$33,3,FALSE())*(Inputs!$B$25/14)*Inputs!$B$5+VLOOKUP("40",Inputs!$A$29:$K$33,4,FALSE())*(Inputs!$B$25/14)*Inputs!$B$12+VLOOKUP("40",Inputs!$A$29:$K$33,5,FALSE())*(Inputs!$B$25/14)*Inputs!$B$13)+(1-E185)*(INDEX(Inputs!$A$37:$C$37,1,1)*(Inputs!$B$25/14)*Inputs!$B$5+INDEX(Inputs!$A$37:$C$37,1,2)*(Inputs!$B$25/14)*Inputs!$B$12+INDEX(Inputs!$A$37:$C$37,1,3)*(Inputs!$B$25/14)*Inputs!$B$13)</f>
        <v>311.623139673638</v>
      </c>
    </row>
    <row r="186" customFormat="false" ht="15" hidden="false" customHeight="true" outlineLevel="0" collapsed="false">
      <c r="A186" s="23" t="n">
        <v>2</v>
      </c>
      <c r="B186" s="24" t="b">
        <f aca="false">A186&lt;=Inputs!$B$17</f>
        <v>1</v>
      </c>
      <c r="C186" s="25" t="n">
        <f aca="false">C185*(1-Inputs!$B$22)</f>
        <v>0.3243</v>
      </c>
      <c r="D186" s="26" t="n">
        <f aca="false">IF(B186,C186*(VLOOKUP("40",Inputs!$A$29:$K$33,3,FALSE())*(Inputs!$B$25/14)*Inputs!$B$5+VLOOKUP("40",Inputs!$A$29:$K$33,4,FALSE())*(Inputs!$B$25/14)*Inputs!$B$12+VLOOKUP("40",Inputs!$A$29:$K$33,5,FALSE())*(Inputs!$B$25/14)*Inputs!$B$13)+(1-C186)*(VLOOKUP("40",Inputs!$A$29:$K$33,6,FALSE())*(Inputs!$B$25/14)*Inputs!$B$5+VLOOKUP("40",Inputs!$A$29:$K$33,7,FALSE())*(Inputs!$B$25/14)*Inputs!$B$12+VLOOKUP("40",Inputs!$A$29:$K$33,8,FALSE())*(Inputs!$B$25/14)*Inputs!$B$13),C186*((VLOOKUP("40",Inputs!$A$29:$K$33,3,FALSE())*(Inputs!$B$25/14)*Inputs!$B$5+VLOOKUP("40",Inputs!$A$29:$K$33,4,FALSE())*(Inputs!$B$25/14)*Inputs!$B$12+VLOOKUP("40",Inputs!$A$29:$K$33,5,FALSE())*(Inputs!$B$25/14)*Inputs!$B$13)+Inputs!$B$18)+(1-C186)*((VLOOKUP("40",Inputs!$A$29:$K$33,9,FALSE())*(Inputs!$B$25/14)*Inputs!$B$5+VLOOKUP("40",Inputs!$A$29:$K$33,10,FALSE())*(Inputs!$B$25/14)*Inputs!$B$12+VLOOKUP("40",Inputs!$A$29:$K$33,11,FALSE())*(Inputs!$B$25/14)*Inputs!$B$13)))</f>
        <v>176.448106847659</v>
      </c>
      <c r="E186" s="25" t="n">
        <f aca="false">0</f>
        <v>0</v>
      </c>
      <c r="F18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87" customFormat="false" ht="15" hidden="false" customHeight="true" outlineLevel="0" collapsed="false">
      <c r="A187" s="23" t="n">
        <v>3</v>
      </c>
      <c r="B187" s="24" t="b">
        <f aca="false">A187&lt;=Inputs!$B$17</f>
        <v>1</v>
      </c>
      <c r="C187" s="25" t="n">
        <f aca="false">C186*(1-Inputs!$B$22)</f>
        <v>0.223767</v>
      </c>
      <c r="D187" s="26" t="n">
        <f aca="false">IF(B187,C187*(VLOOKUP("40",Inputs!$A$29:$K$33,3,FALSE())*(Inputs!$B$25/14)*Inputs!$B$5+VLOOKUP("40",Inputs!$A$29:$K$33,4,FALSE())*(Inputs!$B$25/14)*Inputs!$B$12+VLOOKUP("40",Inputs!$A$29:$K$33,5,FALSE())*(Inputs!$B$25/14)*Inputs!$B$13)+(1-C187)*(VLOOKUP("40",Inputs!$A$29:$K$33,6,FALSE())*(Inputs!$B$25/14)*Inputs!$B$5+VLOOKUP("40",Inputs!$A$29:$K$33,7,FALSE())*(Inputs!$B$25/14)*Inputs!$B$12+VLOOKUP("40",Inputs!$A$29:$K$33,8,FALSE())*(Inputs!$B$25/14)*Inputs!$B$13),C187*((VLOOKUP("40",Inputs!$A$29:$K$33,3,FALSE())*(Inputs!$B$25/14)*Inputs!$B$5+VLOOKUP("40",Inputs!$A$29:$K$33,4,FALSE())*(Inputs!$B$25/14)*Inputs!$B$12+VLOOKUP("40",Inputs!$A$29:$K$33,5,FALSE())*(Inputs!$B$25/14)*Inputs!$B$13)+Inputs!$B$18)+(1-C187)*((VLOOKUP("40",Inputs!$A$29:$K$33,9,FALSE())*(Inputs!$B$25/14)*Inputs!$B$5+VLOOKUP("40",Inputs!$A$29:$K$33,10,FALSE())*(Inputs!$B$25/14)*Inputs!$B$12+VLOOKUP("40",Inputs!$A$29:$K$33,11,FALSE())*(Inputs!$B$25/14)*Inputs!$B$13)))</f>
        <v>182.592188324037</v>
      </c>
      <c r="E187" s="25" t="n">
        <f aca="false">0</f>
        <v>0</v>
      </c>
      <c r="F18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88" customFormat="false" ht="15" hidden="false" customHeight="true" outlineLevel="0" collapsed="false">
      <c r="A188" s="23" t="n">
        <v>4</v>
      </c>
      <c r="B188" s="24" t="b">
        <f aca="false">A188&lt;=Inputs!$B$17</f>
        <v>0</v>
      </c>
      <c r="C188" s="25" t="n">
        <f aca="false">C187*(1-Inputs!$B$22)</f>
        <v>0.15439923</v>
      </c>
      <c r="D188" s="26" t="n">
        <f aca="false">IF(B188,C188*(VLOOKUP("40",Inputs!$A$29:$K$33,3,FALSE())*(Inputs!$B$25/14)*Inputs!$B$5+VLOOKUP("40",Inputs!$A$29:$K$33,4,FALSE())*(Inputs!$B$25/14)*Inputs!$B$12+VLOOKUP("40",Inputs!$A$29:$K$33,5,FALSE())*(Inputs!$B$25/14)*Inputs!$B$13)+(1-C188)*(VLOOKUP("40",Inputs!$A$29:$K$33,6,FALSE())*(Inputs!$B$25/14)*Inputs!$B$5+VLOOKUP("40",Inputs!$A$29:$K$33,7,FALSE())*(Inputs!$B$25/14)*Inputs!$B$12+VLOOKUP("40",Inputs!$A$29:$K$33,8,FALSE())*(Inputs!$B$25/14)*Inputs!$B$13),C188*((VLOOKUP("40",Inputs!$A$29:$K$33,3,FALSE())*(Inputs!$B$25/14)*Inputs!$B$5+VLOOKUP("40",Inputs!$A$29:$K$33,4,FALSE())*(Inputs!$B$25/14)*Inputs!$B$12+VLOOKUP("40",Inputs!$A$29:$K$33,5,FALSE())*(Inputs!$B$25/14)*Inputs!$B$13)+Inputs!$B$18)+(1-C188)*((VLOOKUP("40",Inputs!$A$29:$K$33,9,FALSE())*(Inputs!$B$25/14)*Inputs!$B$5+VLOOKUP("40",Inputs!$A$29:$K$33,10,FALSE())*(Inputs!$B$25/14)*Inputs!$B$12+VLOOKUP("40",Inputs!$A$29:$K$33,11,FALSE())*(Inputs!$B$25/14)*Inputs!$B$13)))</f>
        <v>210.182097458818</v>
      </c>
      <c r="E188" s="25" t="n">
        <f aca="false">0</f>
        <v>0</v>
      </c>
      <c r="F18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89" customFormat="false" ht="15" hidden="false" customHeight="true" outlineLevel="0" collapsed="false">
      <c r="A189" s="23" t="n">
        <v>5</v>
      </c>
      <c r="B189" s="24" t="b">
        <f aca="false">A189&lt;=Inputs!$B$17</f>
        <v>0</v>
      </c>
      <c r="C189" s="25" t="n">
        <f aca="false">C188*(1-Inputs!$B$22)</f>
        <v>0.1065354687</v>
      </c>
      <c r="D189" s="26" t="n">
        <f aca="false">IF(B189,C189*(VLOOKUP("40",Inputs!$A$29:$K$33,3,FALSE())*(Inputs!$B$25/14)*Inputs!$B$5+VLOOKUP("40",Inputs!$A$29:$K$33,4,FALSE())*(Inputs!$B$25/14)*Inputs!$B$12+VLOOKUP("40",Inputs!$A$29:$K$33,5,FALSE())*(Inputs!$B$25/14)*Inputs!$B$13)+(1-C189)*(VLOOKUP("40",Inputs!$A$29:$K$33,6,FALSE())*(Inputs!$B$25/14)*Inputs!$B$5+VLOOKUP("40",Inputs!$A$29:$K$33,7,FALSE())*(Inputs!$B$25/14)*Inputs!$B$12+VLOOKUP("40",Inputs!$A$29:$K$33,8,FALSE())*(Inputs!$B$25/14)*Inputs!$B$13),C189*((VLOOKUP("40",Inputs!$A$29:$K$33,3,FALSE())*(Inputs!$B$25/14)*Inputs!$B$5+VLOOKUP("40",Inputs!$A$29:$K$33,4,FALSE())*(Inputs!$B$25/14)*Inputs!$B$12+VLOOKUP("40",Inputs!$A$29:$K$33,5,FALSE())*(Inputs!$B$25/14)*Inputs!$B$13)+Inputs!$B$18)+(1-C189)*((VLOOKUP("40",Inputs!$A$29:$K$33,9,FALSE())*(Inputs!$B$25/14)*Inputs!$B$5+VLOOKUP("40",Inputs!$A$29:$K$33,10,FALSE())*(Inputs!$B$25/14)*Inputs!$B$12+VLOOKUP("40",Inputs!$A$29:$K$33,11,FALSE())*(Inputs!$B$25/14)*Inputs!$B$13)))</f>
        <v>202.636662606272</v>
      </c>
      <c r="E189" s="25" t="n">
        <f aca="false">0</f>
        <v>0</v>
      </c>
      <c r="F18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0" customFormat="false" ht="15" hidden="false" customHeight="true" outlineLevel="0" collapsed="false">
      <c r="A190" s="23" t="n">
        <v>6</v>
      </c>
      <c r="B190" s="24" t="b">
        <f aca="false">A190&lt;=Inputs!$B$17</f>
        <v>0</v>
      </c>
      <c r="C190" s="25" t="n">
        <f aca="false">C189*(1-Inputs!$B$22)</f>
        <v>0.073509473403</v>
      </c>
      <c r="D190" s="26" t="n">
        <f aca="false">IF(B190,C190*(VLOOKUP("40",Inputs!$A$29:$K$33,3,FALSE())*(Inputs!$B$25/14)*Inputs!$B$5+VLOOKUP("40",Inputs!$A$29:$K$33,4,FALSE())*(Inputs!$B$25/14)*Inputs!$B$12+VLOOKUP("40",Inputs!$A$29:$K$33,5,FALSE())*(Inputs!$B$25/14)*Inputs!$B$13)+(1-C190)*(VLOOKUP("40",Inputs!$A$29:$K$33,6,FALSE())*(Inputs!$B$25/14)*Inputs!$B$5+VLOOKUP("40",Inputs!$A$29:$K$33,7,FALSE())*(Inputs!$B$25/14)*Inputs!$B$12+VLOOKUP("40",Inputs!$A$29:$K$33,8,FALSE())*(Inputs!$B$25/14)*Inputs!$B$13),C190*((VLOOKUP("40",Inputs!$A$29:$K$33,3,FALSE())*(Inputs!$B$25/14)*Inputs!$B$5+VLOOKUP("40",Inputs!$A$29:$K$33,4,FALSE())*(Inputs!$B$25/14)*Inputs!$B$12+VLOOKUP("40",Inputs!$A$29:$K$33,5,FALSE())*(Inputs!$B$25/14)*Inputs!$B$13)+Inputs!$B$18)+(1-C190)*((VLOOKUP("40",Inputs!$A$29:$K$33,9,FALSE())*(Inputs!$B$25/14)*Inputs!$B$5+VLOOKUP("40",Inputs!$A$29:$K$33,10,FALSE())*(Inputs!$B$25/14)*Inputs!$B$12+VLOOKUP("40",Inputs!$A$29:$K$33,11,FALSE())*(Inputs!$B$25/14)*Inputs!$B$13)))</f>
        <v>197.430312558015</v>
      </c>
      <c r="E190" s="25" t="n">
        <f aca="false">0</f>
        <v>0</v>
      </c>
      <c r="F19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1" customFormat="false" ht="15" hidden="false" customHeight="true" outlineLevel="0" collapsed="false">
      <c r="A191" s="23" t="n">
        <v>7</v>
      </c>
      <c r="B191" s="24" t="b">
        <f aca="false">A191&lt;=Inputs!$B$17</f>
        <v>0</v>
      </c>
      <c r="C191" s="25" t="n">
        <f aca="false">C190*(1-Inputs!$B$22)</f>
        <v>0.05072153664807</v>
      </c>
      <c r="D191" s="26" t="n">
        <f aca="false">IF(B191,C191*(VLOOKUP("40",Inputs!$A$29:$K$33,3,FALSE())*(Inputs!$B$25/14)*Inputs!$B$5+VLOOKUP("40",Inputs!$A$29:$K$33,4,FALSE())*(Inputs!$B$25/14)*Inputs!$B$12+VLOOKUP("40",Inputs!$A$29:$K$33,5,FALSE())*(Inputs!$B$25/14)*Inputs!$B$13)+(1-C191)*(VLOOKUP("40",Inputs!$A$29:$K$33,6,FALSE())*(Inputs!$B$25/14)*Inputs!$B$5+VLOOKUP("40",Inputs!$A$29:$K$33,7,FALSE())*(Inputs!$B$25/14)*Inputs!$B$12+VLOOKUP("40",Inputs!$A$29:$K$33,8,FALSE())*(Inputs!$B$25/14)*Inputs!$B$13),C191*((VLOOKUP("40",Inputs!$A$29:$K$33,3,FALSE())*(Inputs!$B$25/14)*Inputs!$B$5+VLOOKUP("40",Inputs!$A$29:$K$33,4,FALSE())*(Inputs!$B$25/14)*Inputs!$B$12+VLOOKUP("40",Inputs!$A$29:$K$33,5,FALSE())*(Inputs!$B$25/14)*Inputs!$B$13)+Inputs!$B$18)+(1-C191)*((VLOOKUP("40",Inputs!$A$29:$K$33,9,FALSE())*(Inputs!$B$25/14)*Inputs!$B$5+VLOOKUP("40",Inputs!$A$29:$K$33,10,FALSE())*(Inputs!$B$25/14)*Inputs!$B$12+VLOOKUP("40",Inputs!$A$29:$K$33,11,FALSE())*(Inputs!$B$25/14)*Inputs!$B$13)))</f>
        <v>193.837931024718</v>
      </c>
      <c r="E191" s="25" t="n">
        <f aca="false">0</f>
        <v>0</v>
      </c>
      <c r="F19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2" customFormat="false" ht="15" hidden="false" customHeight="true" outlineLevel="0" collapsed="false">
      <c r="A192" s="23" t="n">
        <v>8</v>
      </c>
      <c r="B192" s="24" t="b">
        <f aca="false">A192&lt;=Inputs!$B$17</f>
        <v>0</v>
      </c>
      <c r="C192" s="25" t="n">
        <f aca="false">C191*(1-Inputs!$B$22)</f>
        <v>0.0349978602871683</v>
      </c>
      <c r="D192" s="26" t="n">
        <f aca="false">IF(B192,C192*(VLOOKUP("40",Inputs!$A$29:$K$33,3,FALSE())*(Inputs!$B$25/14)*Inputs!$B$5+VLOOKUP("40",Inputs!$A$29:$K$33,4,FALSE())*(Inputs!$B$25/14)*Inputs!$B$12+VLOOKUP("40",Inputs!$A$29:$K$33,5,FALSE())*(Inputs!$B$25/14)*Inputs!$B$13)+(1-C192)*(VLOOKUP("40",Inputs!$A$29:$K$33,6,FALSE())*(Inputs!$B$25/14)*Inputs!$B$5+VLOOKUP("40",Inputs!$A$29:$K$33,7,FALSE())*(Inputs!$B$25/14)*Inputs!$B$12+VLOOKUP("40",Inputs!$A$29:$K$33,8,FALSE())*(Inputs!$B$25/14)*Inputs!$B$13),C192*((VLOOKUP("40",Inputs!$A$29:$K$33,3,FALSE())*(Inputs!$B$25/14)*Inputs!$B$5+VLOOKUP("40",Inputs!$A$29:$K$33,4,FALSE())*(Inputs!$B$25/14)*Inputs!$B$12+VLOOKUP("40",Inputs!$A$29:$K$33,5,FALSE())*(Inputs!$B$25/14)*Inputs!$B$13)+Inputs!$B$18)+(1-C192)*((VLOOKUP("40",Inputs!$A$29:$K$33,9,FALSE())*(Inputs!$B$25/14)*Inputs!$B$5+VLOOKUP("40",Inputs!$A$29:$K$33,10,FALSE())*(Inputs!$B$25/14)*Inputs!$B$12+VLOOKUP("40",Inputs!$A$29:$K$33,11,FALSE())*(Inputs!$B$25/14)*Inputs!$B$13)))</f>
        <v>191.359187766743</v>
      </c>
      <c r="E192" s="25" t="n">
        <f aca="false">0</f>
        <v>0</v>
      </c>
      <c r="F19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3" customFormat="false" ht="15" hidden="false" customHeight="true" outlineLevel="0" collapsed="false">
      <c r="A193" s="23" t="n">
        <v>9</v>
      </c>
      <c r="B193" s="24" t="b">
        <f aca="false">A193&lt;=Inputs!$B$17</f>
        <v>0</v>
      </c>
      <c r="C193" s="25" t="n">
        <f aca="false">C192*(1-Inputs!$B$22)</f>
        <v>0.0241485235981461</v>
      </c>
      <c r="D193" s="26" t="n">
        <f aca="false">IF(B193,C193*(VLOOKUP("40",Inputs!$A$29:$K$33,3,FALSE())*(Inputs!$B$25/14)*Inputs!$B$5+VLOOKUP("40",Inputs!$A$29:$K$33,4,FALSE())*(Inputs!$B$25/14)*Inputs!$B$12+VLOOKUP("40",Inputs!$A$29:$K$33,5,FALSE())*(Inputs!$B$25/14)*Inputs!$B$13)+(1-C193)*(VLOOKUP("40",Inputs!$A$29:$K$33,6,FALSE())*(Inputs!$B$25/14)*Inputs!$B$5+VLOOKUP("40",Inputs!$A$29:$K$33,7,FALSE())*(Inputs!$B$25/14)*Inputs!$B$12+VLOOKUP("40",Inputs!$A$29:$K$33,8,FALSE())*(Inputs!$B$25/14)*Inputs!$B$13),C193*((VLOOKUP("40",Inputs!$A$29:$K$33,3,FALSE())*(Inputs!$B$25/14)*Inputs!$B$5+VLOOKUP("40",Inputs!$A$29:$K$33,4,FALSE())*(Inputs!$B$25/14)*Inputs!$B$12+VLOOKUP("40",Inputs!$A$29:$K$33,5,FALSE())*(Inputs!$B$25/14)*Inputs!$B$13)+Inputs!$B$18)+(1-C193)*((VLOOKUP("40",Inputs!$A$29:$K$33,9,FALSE())*(Inputs!$B$25/14)*Inputs!$B$5+VLOOKUP("40",Inputs!$A$29:$K$33,10,FALSE())*(Inputs!$B$25/14)*Inputs!$B$12+VLOOKUP("40",Inputs!$A$29:$K$33,11,FALSE())*(Inputs!$B$25/14)*Inputs!$B$13)))</f>
        <v>189.64885491874</v>
      </c>
      <c r="E193" s="25" t="n">
        <f aca="false">0</f>
        <v>0</v>
      </c>
      <c r="F19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4" customFormat="false" ht="15" hidden="false" customHeight="true" outlineLevel="0" collapsed="false">
      <c r="A194" s="23" t="n">
        <v>10</v>
      </c>
      <c r="B194" s="24" t="b">
        <f aca="false">A194&lt;=Inputs!$B$17</f>
        <v>0</v>
      </c>
      <c r="C194" s="25" t="n">
        <f aca="false">C193*(1-Inputs!$B$22)</f>
        <v>0.0166624812827208</v>
      </c>
      <c r="D194" s="26" t="n">
        <f aca="false">IF(B194,C194*(VLOOKUP("40",Inputs!$A$29:$K$33,3,FALSE())*(Inputs!$B$25/14)*Inputs!$B$5+VLOOKUP("40",Inputs!$A$29:$K$33,4,FALSE())*(Inputs!$B$25/14)*Inputs!$B$12+VLOOKUP("40",Inputs!$A$29:$K$33,5,FALSE())*(Inputs!$B$25/14)*Inputs!$B$13)+(1-C194)*(VLOOKUP("40",Inputs!$A$29:$K$33,6,FALSE())*(Inputs!$B$25/14)*Inputs!$B$5+VLOOKUP("40",Inputs!$A$29:$K$33,7,FALSE())*(Inputs!$B$25/14)*Inputs!$B$12+VLOOKUP("40",Inputs!$A$29:$K$33,8,FALSE())*(Inputs!$B$25/14)*Inputs!$B$13),C194*((VLOOKUP("40",Inputs!$A$29:$K$33,3,FALSE())*(Inputs!$B$25/14)*Inputs!$B$5+VLOOKUP("40",Inputs!$A$29:$K$33,4,FALSE())*(Inputs!$B$25/14)*Inputs!$B$12+VLOOKUP("40",Inputs!$A$29:$K$33,5,FALSE())*(Inputs!$B$25/14)*Inputs!$B$13)+Inputs!$B$18)+(1-C194)*((VLOOKUP("40",Inputs!$A$29:$K$33,9,FALSE())*(Inputs!$B$25/14)*Inputs!$B$5+VLOOKUP("40",Inputs!$A$29:$K$33,10,FALSE())*(Inputs!$B$25/14)*Inputs!$B$12+VLOOKUP("40",Inputs!$A$29:$K$33,11,FALSE())*(Inputs!$B$25/14)*Inputs!$B$13)))</f>
        <v>188.468725253618</v>
      </c>
      <c r="E194" s="25" t="n">
        <f aca="false">0</f>
        <v>0</v>
      </c>
      <c r="F19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5" customFormat="false" ht="15" hidden="false" customHeight="true" outlineLevel="0" collapsed="false">
      <c r="A195" s="23" t="n">
        <v>11</v>
      </c>
      <c r="B195" s="24" t="b">
        <f aca="false">A195&lt;=Inputs!$B$17</f>
        <v>0</v>
      </c>
      <c r="C195" s="25" t="n">
        <f aca="false">C194*(1-Inputs!$B$22)</f>
        <v>0.0114971120850774</v>
      </c>
      <c r="D195" s="26" t="n">
        <f aca="false">IF(B195,C195*(VLOOKUP("40",Inputs!$A$29:$K$33,3,FALSE())*(Inputs!$B$25/14)*Inputs!$B$5+VLOOKUP("40",Inputs!$A$29:$K$33,4,FALSE())*(Inputs!$B$25/14)*Inputs!$B$12+VLOOKUP("40",Inputs!$A$29:$K$33,5,FALSE())*(Inputs!$B$25/14)*Inputs!$B$13)+(1-C195)*(VLOOKUP("40",Inputs!$A$29:$K$33,6,FALSE())*(Inputs!$B$25/14)*Inputs!$B$5+VLOOKUP("40",Inputs!$A$29:$K$33,7,FALSE())*(Inputs!$B$25/14)*Inputs!$B$12+VLOOKUP("40",Inputs!$A$29:$K$33,8,FALSE())*(Inputs!$B$25/14)*Inputs!$B$13),C195*((VLOOKUP("40",Inputs!$A$29:$K$33,3,FALSE())*(Inputs!$B$25/14)*Inputs!$B$5+VLOOKUP("40",Inputs!$A$29:$K$33,4,FALSE())*(Inputs!$B$25/14)*Inputs!$B$12+VLOOKUP("40",Inputs!$A$29:$K$33,5,FALSE())*(Inputs!$B$25/14)*Inputs!$B$13)+Inputs!$B$18)+(1-C195)*((VLOOKUP("40",Inputs!$A$29:$K$33,9,FALSE())*(Inputs!$B$25/14)*Inputs!$B$5+VLOOKUP("40",Inputs!$A$29:$K$33,10,FALSE())*(Inputs!$B$25/14)*Inputs!$B$12+VLOOKUP("40",Inputs!$A$29:$K$33,11,FALSE())*(Inputs!$B$25/14)*Inputs!$B$13)))</f>
        <v>187.654435784684</v>
      </c>
      <c r="E195" s="25" t="n">
        <f aca="false">0</f>
        <v>0</v>
      </c>
      <c r="F19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6" customFormat="false" ht="15" hidden="false" customHeight="true" outlineLevel="0" collapsed="false">
      <c r="A196" s="23" t="n">
        <v>12</v>
      </c>
      <c r="B196" s="24" t="b">
        <f aca="false">A196&lt;=Inputs!$B$17</f>
        <v>0</v>
      </c>
      <c r="C196" s="25" t="n">
        <f aca="false">C195*(1-Inputs!$B$22)</f>
        <v>0.00793300733870338</v>
      </c>
      <c r="D196" s="26" t="n">
        <f aca="false">IF(B196,C196*(VLOOKUP("40",Inputs!$A$29:$K$33,3,FALSE())*(Inputs!$B$25/14)*Inputs!$B$5+VLOOKUP("40",Inputs!$A$29:$K$33,4,FALSE())*(Inputs!$B$25/14)*Inputs!$B$12+VLOOKUP("40",Inputs!$A$29:$K$33,5,FALSE())*(Inputs!$B$25/14)*Inputs!$B$13)+(1-C196)*(VLOOKUP("40",Inputs!$A$29:$K$33,6,FALSE())*(Inputs!$B$25/14)*Inputs!$B$5+VLOOKUP("40",Inputs!$A$29:$K$33,7,FALSE())*(Inputs!$B$25/14)*Inputs!$B$12+VLOOKUP("40",Inputs!$A$29:$K$33,8,FALSE())*(Inputs!$B$25/14)*Inputs!$B$13),C196*((VLOOKUP("40",Inputs!$A$29:$K$33,3,FALSE())*(Inputs!$B$25/14)*Inputs!$B$5+VLOOKUP("40",Inputs!$A$29:$K$33,4,FALSE())*(Inputs!$B$25/14)*Inputs!$B$12+VLOOKUP("40",Inputs!$A$29:$K$33,5,FALSE())*(Inputs!$B$25/14)*Inputs!$B$13)+Inputs!$B$18)+(1-C196)*((VLOOKUP("40",Inputs!$A$29:$K$33,9,FALSE())*(Inputs!$B$25/14)*Inputs!$B$5+VLOOKUP("40",Inputs!$A$29:$K$33,10,FALSE())*(Inputs!$B$25/14)*Inputs!$B$12+VLOOKUP("40",Inputs!$A$29:$K$33,11,FALSE())*(Inputs!$B$25/14)*Inputs!$B$13)))</f>
        <v>187.092576051119</v>
      </c>
      <c r="E196" s="25" t="n">
        <f aca="false">0</f>
        <v>0</v>
      </c>
      <c r="F19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197" customFormat="false" ht="15" hidden="false" customHeight="true" outlineLevel="0" collapsed="false">
      <c r="A197" s="27" t="s">
        <v>125</v>
      </c>
      <c r="D197" s="28" t="n">
        <f aca="false">SUM(D185:D196)</f>
        <v>2274.89471953429</v>
      </c>
      <c r="F197" s="28" t="n">
        <f aca="false">SUM(F185:F196)</f>
        <v>3915.17838956203</v>
      </c>
    </row>
    <row r="199" customFormat="false" ht="15" hidden="false" customHeight="true" outlineLevel="0" collapsed="false">
      <c r="A199" s="27" t="s">
        <v>159</v>
      </c>
    </row>
    <row r="200" customFormat="false" ht="21.75" hidden="false" customHeight="true" outlineLevel="0" collapsed="false">
      <c r="A200" s="43" t="s">
        <v>92</v>
      </c>
      <c r="B200" s="43" t="s">
        <v>145</v>
      </c>
      <c r="C200" s="43" t="s">
        <v>146</v>
      </c>
      <c r="D200" s="43" t="s">
        <v>147</v>
      </c>
      <c r="E200" s="43" t="s">
        <v>148</v>
      </c>
      <c r="F200" s="43" t="s">
        <v>149</v>
      </c>
    </row>
    <row r="201" customFormat="false" ht="15" hidden="false" customHeight="true" outlineLevel="0" collapsed="false">
      <c r="A201" s="23" t="n">
        <v>1</v>
      </c>
      <c r="B201" s="24" t="b">
        <f aca="false">A201&lt;=Inputs!$B$17</f>
        <v>1</v>
      </c>
      <c r="C201" s="25" t="n">
        <f aca="false">VLOOKUP("40",Inputs!$A$29:$K$33,2,FALSE())</f>
        <v>0.47</v>
      </c>
      <c r="D201" s="26" t="n">
        <f aca="false">IF(B201,C201*(VLOOKUP("40",Inputs!$A$29:$K$33,3,FALSE())*(Inputs!$B$25/14)*Inputs!$B$5+VLOOKUP("40",Inputs!$A$29:$K$33,4,FALSE())*(Inputs!$B$25/14)*Inputs!$B$12+VLOOKUP("40",Inputs!$A$29:$K$33,5,FALSE())*(Inputs!$B$25/14)*Inputs!$B$13)+(1-C201)*(VLOOKUP("40",Inputs!$A$29:$K$33,6,FALSE())*(Inputs!$B$25/14)*Inputs!$B$5+VLOOKUP("40",Inputs!$A$29:$K$33,7,FALSE())*(Inputs!$B$25/14)*Inputs!$B$12+VLOOKUP("40",Inputs!$A$29:$K$33,8,FALSE())*(Inputs!$B$25/14)*Inputs!$B$13),C201*((VLOOKUP("40",Inputs!$A$29:$K$33,3,FALSE())*(Inputs!$B$25/14)*Inputs!$B$5+VLOOKUP("40",Inputs!$A$29:$K$33,4,FALSE())*(Inputs!$B$25/14)*Inputs!$B$12+VLOOKUP("40",Inputs!$A$29:$K$33,5,FALSE())*(Inputs!$B$25/14)*Inputs!$B$13)+Inputs!$B$18)+(1-C201)*((INDEX(Inputs!$A$37:$C$37,1,1)*(Inputs!$B$25/14)*Inputs!$B$5+INDEX(Inputs!$A$37:$C$37,1,2)*(Inputs!$B$25/14)*Inputs!$B$12+INDEX(Inputs!$A$37:$C$37,1,3)*(Inputs!$B$25/14)*Inputs!$B$13)))</f>
        <v>167.543640939866</v>
      </c>
      <c r="E201" s="25" t="n">
        <f aca="false">Inputs!$B$21</f>
        <v>0.083</v>
      </c>
      <c r="F201" s="26" t="n">
        <f aca="false">E201*(VLOOKUP("40",Inputs!$A$29:$K$33,3,FALSE())*(Inputs!$B$25/14)*Inputs!$B$5+VLOOKUP("40",Inputs!$A$29:$K$33,4,FALSE())*(Inputs!$B$25/14)*Inputs!$B$12+VLOOKUP("40",Inputs!$A$29:$K$33,5,FALSE())*(Inputs!$B$25/14)*Inputs!$B$13)+(1-E201)*(INDEX(Inputs!$A$37:$C$37,1,1)*(Inputs!$B$25/14)*Inputs!$B$5+INDEX(Inputs!$A$37:$C$37,1,2)*(Inputs!$B$25/14)*Inputs!$B$12+INDEX(Inputs!$A$37:$C$37,1,3)*(Inputs!$B$25/14)*Inputs!$B$13)</f>
        <v>311.623139673638</v>
      </c>
    </row>
    <row r="202" customFormat="false" ht="15" hidden="false" customHeight="true" outlineLevel="0" collapsed="false">
      <c r="A202" s="23" t="n">
        <v>2</v>
      </c>
      <c r="B202" s="24" t="b">
        <f aca="false">A202&lt;=Inputs!$B$17</f>
        <v>1</v>
      </c>
      <c r="C202" s="25" t="n">
        <f aca="false">C201*(1-Inputs!$B$22*(0.9^(A202-2)))</f>
        <v>0.3243</v>
      </c>
      <c r="D202" s="26" t="n">
        <f aca="false">IF(B202,C202*(VLOOKUP("40",Inputs!$A$29:$K$33,3,FALSE())*(Inputs!$B$25/14)*Inputs!$B$5+VLOOKUP("40",Inputs!$A$29:$K$33,4,FALSE())*(Inputs!$B$25/14)*Inputs!$B$12+VLOOKUP("40",Inputs!$A$29:$K$33,5,FALSE())*(Inputs!$B$25/14)*Inputs!$B$13)+(1-C202)*(VLOOKUP("40",Inputs!$A$29:$K$33,6,FALSE())*(Inputs!$B$25/14)*Inputs!$B$5+VLOOKUP("40",Inputs!$A$29:$K$33,7,FALSE())*(Inputs!$B$25/14)*Inputs!$B$12+VLOOKUP("40",Inputs!$A$29:$K$33,8,FALSE())*(Inputs!$B$25/14)*Inputs!$B$13),C202*((VLOOKUP("40",Inputs!$A$29:$K$33,3,FALSE())*(Inputs!$B$25/14)*Inputs!$B$5+VLOOKUP("40",Inputs!$A$29:$K$33,4,FALSE())*(Inputs!$B$25/14)*Inputs!$B$12+VLOOKUP("40",Inputs!$A$29:$K$33,5,FALSE())*(Inputs!$B$25/14)*Inputs!$B$13)+Inputs!$B$18)+(1-C202)*((INDEX(Inputs!$A$37:$C$37,1,1)*(Inputs!$B$25/14)*Inputs!$B$5+INDEX(Inputs!$A$37:$C$37,1,2)*(Inputs!$B$25/14)*Inputs!$B$12+INDEX(Inputs!$A$37:$C$37,1,3)*(Inputs!$B$25/14)*Inputs!$B$13)))</f>
        <v>176.448106847659</v>
      </c>
      <c r="E202" s="25" t="n">
        <f aca="false">0</f>
        <v>0</v>
      </c>
      <c r="F20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3" customFormat="false" ht="15" hidden="false" customHeight="true" outlineLevel="0" collapsed="false">
      <c r="A203" s="23" t="n">
        <v>3</v>
      </c>
      <c r="B203" s="24" t="b">
        <f aca="false">A203&lt;=Inputs!$B$17</f>
        <v>1</v>
      </c>
      <c r="C203" s="25" t="n">
        <f aca="false">C202*(1-Inputs!$B$22*(0.9^(A203-2)))</f>
        <v>0.2338203</v>
      </c>
      <c r="D203" s="26" t="n">
        <f aca="false">IF(B203,C203*(VLOOKUP("40",Inputs!$A$29:$K$33,3,FALSE())*(Inputs!$B$25/14)*Inputs!$B$5+VLOOKUP("40",Inputs!$A$29:$K$33,4,FALSE())*(Inputs!$B$25/14)*Inputs!$B$12+VLOOKUP("40",Inputs!$A$29:$K$33,5,FALSE())*(Inputs!$B$25/14)*Inputs!$B$13)+(1-C203)*(VLOOKUP("40",Inputs!$A$29:$K$33,6,FALSE())*(Inputs!$B$25/14)*Inputs!$B$5+VLOOKUP("40",Inputs!$A$29:$K$33,7,FALSE())*(Inputs!$B$25/14)*Inputs!$B$12+VLOOKUP("40",Inputs!$A$29:$K$33,8,FALSE())*(Inputs!$B$25/14)*Inputs!$B$13),C203*((VLOOKUP("40",Inputs!$A$29:$K$33,3,FALSE())*(Inputs!$B$25/14)*Inputs!$B$5+VLOOKUP("40",Inputs!$A$29:$K$33,4,FALSE())*(Inputs!$B$25/14)*Inputs!$B$12+VLOOKUP("40",Inputs!$A$29:$K$33,5,FALSE())*(Inputs!$B$25/14)*Inputs!$B$13)+Inputs!$B$18)+(1-C203)*((INDEX(Inputs!$A$37:$C$37,1,1)*(Inputs!$B$25/14)*Inputs!$B$5+INDEX(Inputs!$A$37:$C$37,1,2)*(Inputs!$B$25/14)*Inputs!$B$12+INDEX(Inputs!$A$37:$C$37,1,3)*(Inputs!$B$25/14)*Inputs!$B$13)))</f>
        <v>181.977780176399</v>
      </c>
      <c r="E203" s="25" t="n">
        <f aca="false">0</f>
        <v>0</v>
      </c>
      <c r="F20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4" customFormat="false" ht="15" hidden="false" customHeight="true" outlineLevel="0" collapsed="false">
      <c r="A204" s="23" t="n">
        <v>4</v>
      </c>
      <c r="B204" s="24" t="b">
        <f aca="false">A204&lt;=Inputs!$B$17</f>
        <v>0</v>
      </c>
      <c r="C204" s="25" t="n">
        <f aca="false">C203*(1-Inputs!$B$22*(0.9^(A204-2)))</f>
        <v>0.17510802267</v>
      </c>
      <c r="D204" s="26" t="n">
        <f aca="false">IF(B204,C204*(VLOOKUP("40",Inputs!$A$29:$K$33,3,FALSE())*(Inputs!$B$25/14)*Inputs!$B$5+VLOOKUP("40",Inputs!$A$29:$K$33,4,FALSE())*(Inputs!$B$25/14)*Inputs!$B$12+VLOOKUP("40",Inputs!$A$29:$K$33,5,FALSE())*(Inputs!$B$25/14)*Inputs!$B$13)+(1-C204)*(VLOOKUP("40",Inputs!$A$29:$K$33,6,FALSE())*(Inputs!$B$25/14)*Inputs!$B$5+VLOOKUP("40",Inputs!$A$29:$K$33,7,FALSE())*(Inputs!$B$25/14)*Inputs!$B$12+VLOOKUP("40",Inputs!$A$29:$K$33,8,FALSE())*(Inputs!$B$25/14)*Inputs!$B$13),C204*((VLOOKUP("40",Inputs!$A$29:$K$33,3,FALSE())*(Inputs!$B$25/14)*Inputs!$B$5+VLOOKUP("40",Inputs!$A$29:$K$33,4,FALSE())*(Inputs!$B$25/14)*Inputs!$B$12+VLOOKUP("40",Inputs!$A$29:$K$33,5,FALSE())*(Inputs!$B$25/14)*Inputs!$B$13)+Inputs!$B$18)+(1-C204)*((INDEX(Inputs!$A$37:$C$37,1,1)*(Inputs!$B$25/14)*Inputs!$B$5+INDEX(Inputs!$A$37:$C$37,1,2)*(Inputs!$B$25/14)*Inputs!$B$12+INDEX(Inputs!$A$37:$C$37,1,3)*(Inputs!$B$25/14)*Inputs!$B$13)))</f>
        <v>330.37840785015</v>
      </c>
      <c r="E204" s="25" t="n">
        <f aca="false">0</f>
        <v>0</v>
      </c>
      <c r="F20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5" customFormat="false" ht="15" hidden="false" customHeight="true" outlineLevel="0" collapsed="false">
      <c r="A205" s="23" t="n">
        <v>5</v>
      </c>
      <c r="B205" s="24" t="b">
        <f aca="false">A205&lt;=Inputs!$B$17</f>
        <v>0</v>
      </c>
      <c r="C205" s="25" t="n">
        <f aca="false">C204*(1-Inputs!$B$22*(0.9^(A205-2)))</f>
        <v>0.135535360626807</v>
      </c>
      <c r="D205" s="26" t="n">
        <f aca="false">IF(B205,C205*(VLOOKUP("40",Inputs!$A$29:$K$33,3,FALSE())*(Inputs!$B$25/14)*Inputs!$B$5+VLOOKUP("40",Inputs!$A$29:$K$33,4,FALSE())*(Inputs!$B$25/14)*Inputs!$B$12+VLOOKUP("40",Inputs!$A$29:$K$33,5,FALSE())*(Inputs!$B$25/14)*Inputs!$B$13)+(1-C205)*(VLOOKUP("40",Inputs!$A$29:$K$33,6,FALSE())*(Inputs!$B$25/14)*Inputs!$B$5+VLOOKUP("40",Inputs!$A$29:$K$33,7,FALSE())*(Inputs!$B$25/14)*Inputs!$B$12+VLOOKUP("40",Inputs!$A$29:$K$33,8,FALSE())*(Inputs!$B$25/14)*Inputs!$B$13),C205*((VLOOKUP("40",Inputs!$A$29:$K$33,3,FALSE())*(Inputs!$B$25/14)*Inputs!$B$5+VLOOKUP("40",Inputs!$A$29:$K$33,4,FALSE())*(Inputs!$B$25/14)*Inputs!$B$12+VLOOKUP("40",Inputs!$A$29:$K$33,5,FALSE())*(Inputs!$B$25/14)*Inputs!$B$13)+Inputs!$B$18)+(1-C205)*((INDEX(Inputs!$A$37:$C$37,1,1)*(Inputs!$B$25/14)*Inputs!$B$5+INDEX(Inputs!$A$37:$C$37,1,2)*(Inputs!$B$25/14)*Inputs!$B$12+INDEX(Inputs!$A$37:$C$37,1,3)*(Inputs!$B$25/14)*Inputs!$B$13)))</f>
        <v>329.749596089393</v>
      </c>
      <c r="E205" s="25" t="n">
        <f aca="false">0</f>
        <v>0</v>
      </c>
      <c r="F20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6" customFormat="false" ht="15" hidden="false" customHeight="true" outlineLevel="0" collapsed="false">
      <c r="A206" s="23" t="n">
        <v>6</v>
      </c>
      <c r="B206" s="24" t="b">
        <f aca="false">A206&lt;=Inputs!$B$17</f>
        <v>0</v>
      </c>
      <c r="C206" s="25" t="n">
        <f aca="false">C205*(1-Inputs!$B$22*(0.9^(A206-2)))</f>
        <v>0.10796868809356</v>
      </c>
      <c r="D206" s="26" t="n">
        <f aca="false">IF(B206,C206*(VLOOKUP("40",Inputs!$A$29:$K$33,3,FALSE())*(Inputs!$B$25/14)*Inputs!$B$5+VLOOKUP("40",Inputs!$A$29:$K$33,4,FALSE())*(Inputs!$B$25/14)*Inputs!$B$12+VLOOKUP("40",Inputs!$A$29:$K$33,5,FALSE())*(Inputs!$B$25/14)*Inputs!$B$13)+(1-C206)*(VLOOKUP("40",Inputs!$A$29:$K$33,6,FALSE())*(Inputs!$B$25/14)*Inputs!$B$5+VLOOKUP("40",Inputs!$A$29:$K$33,7,FALSE())*(Inputs!$B$25/14)*Inputs!$B$12+VLOOKUP("40",Inputs!$A$29:$K$33,8,FALSE())*(Inputs!$B$25/14)*Inputs!$B$13),C206*((VLOOKUP("40",Inputs!$A$29:$K$33,3,FALSE())*(Inputs!$B$25/14)*Inputs!$B$5+VLOOKUP("40",Inputs!$A$29:$K$33,4,FALSE())*(Inputs!$B$25/14)*Inputs!$B$12+VLOOKUP("40",Inputs!$A$29:$K$33,5,FALSE())*(Inputs!$B$25/14)*Inputs!$B$13)+Inputs!$B$18)+(1-C206)*((INDEX(Inputs!$A$37:$C$37,1,1)*(Inputs!$B$25/14)*Inputs!$B$5+INDEX(Inputs!$A$37:$C$37,1,2)*(Inputs!$B$25/14)*Inputs!$B$12+INDEX(Inputs!$A$37:$C$37,1,3)*(Inputs!$B$25/14)*Inputs!$B$13)))</f>
        <v>329.311560157543</v>
      </c>
      <c r="E206" s="25" t="n">
        <f aca="false">0</f>
        <v>0</v>
      </c>
      <c r="F20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7" customFormat="false" ht="15" hidden="false" customHeight="true" outlineLevel="0" collapsed="false">
      <c r="A207" s="23" t="n">
        <v>7</v>
      </c>
      <c r="B207" s="24" t="b">
        <f aca="false">A207&lt;=Inputs!$B$17</f>
        <v>0</v>
      </c>
      <c r="C207" s="25" t="n">
        <f aca="false">C206*(1-Inputs!$B$22*(0.9^(A207-2)))</f>
        <v>0.0882048145975263</v>
      </c>
      <c r="D207" s="26" t="n">
        <f aca="false">IF(B207,C207*(VLOOKUP("40",Inputs!$A$29:$K$33,3,FALSE())*(Inputs!$B$25/14)*Inputs!$B$5+VLOOKUP("40",Inputs!$A$29:$K$33,4,FALSE())*(Inputs!$B$25/14)*Inputs!$B$12+VLOOKUP("40",Inputs!$A$29:$K$33,5,FALSE())*(Inputs!$B$25/14)*Inputs!$B$13)+(1-C207)*(VLOOKUP("40",Inputs!$A$29:$K$33,6,FALSE())*(Inputs!$B$25/14)*Inputs!$B$5+VLOOKUP("40",Inputs!$A$29:$K$33,7,FALSE())*(Inputs!$B$25/14)*Inputs!$B$12+VLOOKUP("40",Inputs!$A$29:$K$33,8,FALSE())*(Inputs!$B$25/14)*Inputs!$B$13),C207*((VLOOKUP("40",Inputs!$A$29:$K$33,3,FALSE())*(Inputs!$B$25/14)*Inputs!$B$5+VLOOKUP("40",Inputs!$A$29:$K$33,4,FALSE())*(Inputs!$B$25/14)*Inputs!$B$12+VLOOKUP("40",Inputs!$A$29:$K$33,5,FALSE())*(Inputs!$B$25/14)*Inputs!$B$13)+Inputs!$B$18)+(1-C207)*((INDEX(Inputs!$A$37:$C$37,1,1)*(Inputs!$B$25/14)*Inputs!$B$5+INDEX(Inputs!$A$37:$C$37,1,2)*(Inputs!$B$25/14)*Inputs!$B$12+INDEX(Inputs!$A$37:$C$37,1,3)*(Inputs!$B$25/14)*Inputs!$B$13)))</f>
        <v>328.997511128472</v>
      </c>
      <c r="E207" s="25" t="n">
        <f aca="false">0</f>
        <v>0</v>
      </c>
      <c r="F20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8" customFormat="false" ht="15" hidden="false" customHeight="true" outlineLevel="0" collapsed="false">
      <c r="A208" s="23" t="n">
        <v>8</v>
      </c>
      <c r="B208" s="24" t="b">
        <f aca="false">A208&lt;=Inputs!$B$17</f>
        <v>0</v>
      </c>
      <c r="C208" s="25" t="n">
        <f aca="false">C207*(1-Inputs!$B$22*(0.9^(A208-2)))</f>
        <v>0.0736733615864239</v>
      </c>
      <c r="D208" s="26" t="n">
        <f aca="false">IF(B208,C208*(VLOOKUP("40",Inputs!$A$29:$K$33,3,FALSE())*(Inputs!$B$25/14)*Inputs!$B$5+VLOOKUP("40",Inputs!$A$29:$K$33,4,FALSE())*(Inputs!$B$25/14)*Inputs!$B$12+VLOOKUP("40",Inputs!$A$29:$K$33,5,FALSE())*(Inputs!$B$25/14)*Inputs!$B$13)+(1-C208)*(VLOOKUP("40",Inputs!$A$29:$K$33,6,FALSE())*(Inputs!$B$25/14)*Inputs!$B$5+VLOOKUP("40",Inputs!$A$29:$K$33,7,FALSE())*(Inputs!$B$25/14)*Inputs!$B$12+VLOOKUP("40",Inputs!$A$29:$K$33,8,FALSE())*(Inputs!$B$25/14)*Inputs!$B$13),C208*((VLOOKUP("40",Inputs!$A$29:$K$33,3,FALSE())*(Inputs!$B$25/14)*Inputs!$B$5+VLOOKUP("40",Inputs!$A$29:$K$33,4,FALSE())*(Inputs!$B$25/14)*Inputs!$B$12+VLOOKUP("40",Inputs!$A$29:$K$33,5,FALSE())*(Inputs!$B$25/14)*Inputs!$B$13)+Inputs!$B$18)+(1-C208)*((INDEX(Inputs!$A$37:$C$37,1,1)*(Inputs!$B$25/14)*Inputs!$B$5+INDEX(Inputs!$A$37:$C$37,1,2)*(Inputs!$B$25/14)*Inputs!$B$12+INDEX(Inputs!$A$37:$C$37,1,3)*(Inputs!$B$25/14)*Inputs!$B$13)))</f>
        <v>328.766605546626</v>
      </c>
      <c r="E208" s="25" t="n">
        <f aca="false">0</f>
        <v>0</v>
      </c>
      <c r="F20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09" customFormat="false" ht="15" hidden="false" customHeight="true" outlineLevel="0" collapsed="false">
      <c r="A209" s="23" t="n">
        <v>9</v>
      </c>
      <c r="B209" s="24" t="b">
        <f aca="false">A209&lt;=Inputs!$B$17</f>
        <v>0</v>
      </c>
      <c r="C209" s="25" t="n">
        <f aca="false">C208*(1-Inputs!$B$22*(0.9^(A209-2)))</f>
        <v>0.0627496620440206</v>
      </c>
      <c r="D209" s="26" t="n">
        <f aca="false">IF(B209,C209*(VLOOKUP("40",Inputs!$A$29:$K$33,3,FALSE())*(Inputs!$B$25/14)*Inputs!$B$5+VLOOKUP("40",Inputs!$A$29:$K$33,4,FALSE())*(Inputs!$B$25/14)*Inputs!$B$12+VLOOKUP("40",Inputs!$A$29:$K$33,5,FALSE())*(Inputs!$B$25/14)*Inputs!$B$13)+(1-C209)*(VLOOKUP("40",Inputs!$A$29:$K$33,6,FALSE())*(Inputs!$B$25/14)*Inputs!$B$5+VLOOKUP("40",Inputs!$A$29:$K$33,7,FALSE())*(Inputs!$B$25/14)*Inputs!$B$12+VLOOKUP("40",Inputs!$A$29:$K$33,8,FALSE())*(Inputs!$B$25/14)*Inputs!$B$13),C209*((VLOOKUP("40",Inputs!$A$29:$K$33,3,FALSE())*(Inputs!$B$25/14)*Inputs!$B$5+VLOOKUP("40",Inputs!$A$29:$K$33,4,FALSE())*(Inputs!$B$25/14)*Inputs!$B$12+VLOOKUP("40",Inputs!$A$29:$K$33,5,FALSE())*(Inputs!$B$25/14)*Inputs!$B$13)+Inputs!$B$18)+(1-C209)*((INDEX(Inputs!$A$37:$C$37,1,1)*(Inputs!$B$25/14)*Inputs!$B$5+INDEX(Inputs!$A$37:$C$37,1,2)*(Inputs!$B$25/14)*Inputs!$B$12+INDEX(Inputs!$A$37:$C$37,1,3)*(Inputs!$B$25/14)*Inputs!$B$13)))</f>
        <v>328.593027364402</v>
      </c>
      <c r="E209" s="25" t="n">
        <f aca="false">0</f>
        <v>0</v>
      </c>
      <c r="F20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10" customFormat="false" ht="15" hidden="false" customHeight="true" outlineLevel="0" collapsed="false">
      <c r="A210" s="23" t="n">
        <v>10</v>
      </c>
      <c r="B210" s="24" t="b">
        <f aca="false">A210&lt;=Inputs!$B$17</f>
        <v>0</v>
      </c>
      <c r="C210" s="25" t="n">
        <f aca="false">C209*(1-Inputs!$B$22*(0.9^(A210-2)))</f>
        <v>0.0543760437399755</v>
      </c>
      <c r="D210" s="26" t="n">
        <f aca="false">IF(B210,C210*(VLOOKUP("40",Inputs!$A$29:$K$33,3,FALSE())*(Inputs!$B$25/14)*Inputs!$B$5+VLOOKUP("40",Inputs!$A$29:$K$33,4,FALSE())*(Inputs!$B$25/14)*Inputs!$B$12+VLOOKUP("40",Inputs!$A$29:$K$33,5,FALSE())*(Inputs!$B$25/14)*Inputs!$B$13)+(1-C210)*(VLOOKUP("40",Inputs!$A$29:$K$33,6,FALSE())*(Inputs!$B$25/14)*Inputs!$B$5+VLOOKUP("40",Inputs!$A$29:$K$33,7,FALSE())*(Inputs!$B$25/14)*Inputs!$B$12+VLOOKUP("40",Inputs!$A$29:$K$33,8,FALSE())*(Inputs!$B$25/14)*Inputs!$B$13),C210*((VLOOKUP("40",Inputs!$A$29:$K$33,3,FALSE())*(Inputs!$B$25/14)*Inputs!$B$5+VLOOKUP("40",Inputs!$A$29:$K$33,4,FALSE())*(Inputs!$B$25/14)*Inputs!$B$12+VLOOKUP("40",Inputs!$A$29:$K$33,5,FALSE())*(Inputs!$B$25/14)*Inputs!$B$13)+Inputs!$B$18)+(1-C210)*((INDEX(Inputs!$A$37:$C$37,1,1)*(Inputs!$B$25/14)*Inputs!$B$5+INDEX(Inputs!$A$37:$C$37,1,2)*(Inputs!$B$25/14)*Inputs!$B$12+INDEX(Inputs!$A$37:$C$37,1,3)*(Inputs!$B$25/14)*Inputs!$B$13)))</f>
        <v>328.459970112303</v>
      </c>
      <c r="E210" s="25" t="n">
        <f aca="false">0</f>
        <v>0</v>
      </c>
      <c r="F21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11" customFormat="false" ht="15" hidden="false" customHeight="true" outlineLevel="0" collapsed="false">
      <c r="A211" s="23" t="n">
        <v>11</v>
      </c>
      <c r="B211" s="24" t="b">
        <f aca="false">A211&lt;=Inputs!$B$17</f>
        <v>0</v>
      </c>
      <c r="C211" s="25" t="n">
        <f aca="false">C210*(1-Inputs!$B$22*(0.9^(A211-2)))</f>
        <v>0.0478454617687312</v>
      </c>
      <c r="D211" s="26" t="n">
        <f aca="false">IF(B211,C211*(VLOOKUP("40",Inputs!$A$29:$K$33,3,FALSE())*(Inputs!$B$25/14)*Inputs!$B$5+VLOOKUP("40",Inputs!$A$29:$K$33,4,FALSE())*(Inputs!$B$25/14)*Inputs!$B$12+VLOOKUP("40",Inputs!$A$29:$K$33,5,FALSE())*(Inputs!$B$25/14)*Inputs!$B$13)+(1-C211)*(VLOOKUP("40",Inputs!$A$29:$K$33,6,FALSE())*(Inputs!$B$25/14)*Inputs!$B$5+VLOOKUP("40",Inputs!$A$29:$K$33,7,FALSE())*(Inputs!$B$25/14)*Inputs!$B$12+VLOOKUP("40",Inputs!$A$29:$K$33,8,FALSE())*(Inputs!$B$25/14)*Inputs!$B$13),C211*((VLOOKUP("40",Inputs!$A$29:$K$33,3,FALSE())*(Inputs!$B$25/14)*Inputs!$B$5+VLOOKUP("40",Inputs!$A$29:$K$33,4,FALSE())*(Inputs!$B$25/14)*Inputs!$B$12+VLOOKUP("40",Inputs!$A$29:$K$33,5,FALSE())*(Inputs!$B$25/14)*Inputs!$B$13)+Inputs!$B$18)+(1-C211)*((INDEX(Inputs!$A$37:$C$37,1,1)*(Inputs!$B$25/14)*Inputs!$B$5+INDEX(Inputs!$A$37:$C$37,1,2)*(Inputs!$B$25/14)*Inputs!$B$12+INDEX(Inputs!$A$37:$C$37,1,3)*(Inputs!$B$25/14)*Inputs!$B$13)))</f>
        <v>328.356198808174</v>
      </c>
      <c r="E211" s="25" t="n">
        <f aca="false">0</f>
        <v>0</v>
      </c>
      <c r="F21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12" customFormat="false" ht="15" hidden="false" customHeight="true" outlineLevel="0" collapsed="false">
      <c r="A212" s="23" t="n">
        <v>12</v>
      </c>
      <c r="B212" s="24" t="b">
        <f aca="false">A212&lt;=Inputs!$B$17</f>
        <v>0</v>
      </c>
      <c r="C212" s="25" t="n">
        <f aca="false">C211*(1-Inputs!$B$22*(0.9^(A212-2)))</f>
        <v>0.0426738306663617</v>
      </c>
      <c r="D212" s="26" t="n">
        <f aca="false">IF(B212,C212*(VLOOKUP("40",Inputs!$A$29:$K$33,3,FALSE())*(Inputs!$B$25/14)*Inputs!$B$5+VLOOKUP("40",Inputs!$A$29:$K$33,4,FALSE())*(Inputs!$B$25/14)*Inputs!$B$12+VLOOKUP("40",Inputs!$A$29:$K$33,5,FALSE())*(Inputs!$B$25/14)*Inputs!$B$13)+(1-C212)*(VLOOKUP("40",Inputs!$A$29:$K$33,6,FALSE())*(Inputs!$B$25/14)*Inputs!$B$5+VLOOKUP("40",Inputs!$A$29:$K$33,7,FALSE())*(Inputs!$B$25/14)*Inputs!$B$12+VLOOKUP("40",Inputs!$A$29:$K$33,8,FALSE())*(Inputs!$B$25/14)*Inputs!$B$13),C212*((VLOOKUP("40",Inputs!$A$29:$K$33,3,FALSE())*(Inputs!$B$25/14)*Inputs!$B$5+VLOOKUP("40",Inputs!$A$29:$K$33,4,FALSE())*(Inputs!$B$25/14)*Inputs!$B$12+VLOOKUP("40",Inputs!$A$29:$K$33,5,FALSE())*(Inputs!$B$25/14)*Inputs!$B$13)+Inputs!$B$18)+(1-C212)*((INDEX(Inputs!$A$37:$C$37,1,1)*(Inputs!$B$25/14)*Inputs!$B$5+INDEX(Inputs!$A$37:$C$37,1,2)*(Inputs!$B$25/14)*Inputs!$B$12+INDEX(Inputs!$A$37:$C$37,1,3)*(Inputs!$B$25/14)*Inputs!$B$13)))</f>
        <v>328.274021307557</v>
      </c>
      <c r="E212" s="25" t="n">
        <f aca="false">0</f>
        <v>0</v>
      </c>
      <c r="F21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13" customFormat="false" ht="15" hidden="false" customHeight="true" outlineLevel="0" collapsed="false">
      <c r="A213" s="27" t="s">
        <v>125</v>
      </c>
      <c r="D213" s="28" t="n">
        <f aca="false">SUM(D201:D212)</f>
        <v>3486.85642632854</v>
      </c>
      <c r="F213" s="28" t="n">
        <f aca="false">SUM(F201:F212)</f>
        <v>3915.17838956203</v>
      </c>
    </row>
    <row r="215" customFormat="false" ht="15" hidden="false" customHeight="true" outlineLevel="0" collapsed="false">
      <c r="A215" s="27" t="s">
        <v>160</v>
      </c>
    </row>
    <row r="216" customFormat="false" ht="21.75" hidden="false" customHeight="true" outlineLevel="0" collapsed="false">
      <c r="A216" s="43" t="s">
        <v>92</v>
      </c>
      <c r="B216" s="43" t="s">
        <v>145</v>
      </c>
      <c r="C216" s="43" t="s">
        <v>146</v>
      </c>
      <c r="D216" s="43" t="s">
        <v>147</v>
      </c>
      <c r="E216" s="43" t="s">
        <v>148</v>
      </c>
      <c r="F216" s="43" t="s">
        <v>149</v>
      </c>
    </row>
    <row r="217" customFormat="false" ht="15" hidden="false" customHeight="true" outlineLevel="0" collapsed="false">
      <c r="A217" s="23" t="n">
        <v>1</v>
      </c>
      <c r="B217" s="24" t="b">
        <f aca="false">A217&lt;=Inputs!$B$17</f>
        <v>1</v>
      </c>
      <c r="C217" s="25" t="n">
        <f aca="false">VLOOKUP("40",Inputs!$A$29:$K$33,2,FALSE())</f>
        <v>0.47</v>
      </c>
      <c r="D217" s="26" t="n">
        <f aca="false">IF(B217,C217*(VLOOKUP("40",Inputs!$A$29:$K$33,3,FALSE())*(Inputs!$B$25/14)*Inputs!$B$5+VLOOKUP("40",Inputs!$A$29:$K$33,4,FALSE())*(Inputs!$B$25/14)*Inputs!$B$12+VLOOKUP("40",Inputs!$A$29:$K$33,5,FALSE())*(Inputs!$B$25/14)*Inputs!$B$13)+(1-C217)*(VLOOKUP("40",Inputs!$A$29:$K$33,6,FALSE())*(Inputs!$B$25/14)*Inputs!$B$5+VLOOKUP("40",Inputs!$A$29:$K$33,7,FALSE())*(Inputs!$B$25/14)*Inputs!$B$12+VLOOKUP("40",Inputs!$A$29:$K$33,8,FALSE())*(Inputs!$B$25/14)*Inputs!$B$13),C217*((VLOOKUP("40",Inputs!$A$29:$K$33,3,FALSE())*(Inputs!$B$25/14)*Inputs!$B$5+VLOOKUP("40",Inputs!$A$29:$K$33,4,FALSE())*(Inputs!$B$25/14)*Inputs!$B$12+VLOOKUP("40",Inputs!$A$29:$K$33,5,FALSE())*(Inputs!$B$25/14)*Inputs!$B$13)+Inputs!$B$18)+(1-C217)*((VLOOKUP("40",Inputs!$A$29:$K$33,9,FALSE())*(Inputs!$B$25/14)*Inputs!$B$5+VLOOKUP("40",Inputs!$A$29:$K$33,10,FALSE())*(Inputs!$B$25/14)*Inputs!$B$12+VLOOKUP("40",Inputs!$A$29:$K$33,11,FALSE())*(Inputs!$B$25/14)*Inputs!$B$13)))</f>
        <v>167.543640939866</v>
      </c>
      <c r="E217" s="25" t="n">
        <f aca="false">Inputs!$B$21</f>
        <v>0.083</v>
      </c>
      <c r="F217" s="26" t="n">
        <f aca="false">E217*(VLOOKUP("40",Inputs!$A$29:$K$33,3,FALSE())*(Inputs!$B$25/14)*Inputs!$B$5+VLOOKUP("40",Inputs!$A$29:$K$33,4,FALSE())*(Inputs!$B$25/14)*Inputs!$B$12+VLOOKUP("40",Inputs!$A$29:$K$33,5,FALSE())*(Inputs!$B$25/14)*Inputs!$B$13)+(1-E217)*(INDEX(Inputs!$A$37:$C$37,1,1)*(Inputs!$B$25/14)*Inputs!$B$5+INDEX(Inputs!$A$37:$C$37,1,2)*(Inputs!$B$25/14)*Inputs!$B$12+INDEX(Inputs!$A$37:$C$37,1,3)*(Inputs!$B$25/14)*Inputs!$B$13)</f>
        <v>311.623139673638</v>
      </c>
    </row>
    <row r="218" customFormat="false" ht="15" hidden="false" customHeight="true" outlineLevel="0" collapsed="false">
      <c r="A218" s="23" t="n">
        <v>2</v>
      </c>
      <c r="B218" s="24" t="b">
        <f aca="false">A218&lt;=Inputs!$B$17</f>
        <v>1</v>
      </c>
      <c r="C218" s="25" t="n">
        <f aca="false">C217*(1-Inputs!$B$22*(0.9^(A218-2)))</f>
        <v>0.3243</v>
      </c>
      <c r="D218" s="26" t="n">
        <f aca="false">IF(B218,C218*(VLOOKUP("40",Inputs!$A$29:$K$33,3,FALSE())*(Inputs!$B$25/14)*Inputs!$B$5+VLOOKUP("40",Inputs!$A$29:$K$33,4,FALSE())*(Inputs!$B$25/14)*Inputs!$B$12+VLOOKUP("40",Inputs!$A$29:$K$33,5,FALSE())*(Inputs!$B$25/14)*Inputs!$B$13)+(1-C218)*(VLOOKUP("40",Inputs!$A$29:$K$33,6,FALSE())*(Inputs!$B$25/14)*Inputs!$B$5+VLOOKUP("40",Inputs!$A$29:$K$33,7,FALSE())*(Inputs!$B$25/14)*Inputs!$B$12+VLOOKUP("40",Inputs!$A$29:$K$33,8,FALSE())*(Inputs!$B$25/14)*Inputs!$B$13),C218*((VLOOKUP("40",Inputs!$A$29:$K$33,3,FALSE())*(Inputs!$B$25/14)*Inputs!$B$5+VLOOKUP("40",Inputs!$A$29:$K$33,4,FALSE())*(Inputs!$B$25/14)*Inputs!$B$12+VLOOKUP("40",Inputs!$A$29:$K$33,5,FALSE())*(Inputs!$B$25/14)*Inputs!$B$13)+Inputs!$B$18)+(1-C218)*((VLOOKUP("40",Inputs!$A$29:$K$33,9,FALSE())*(Inputs!$B$25/14)*Inputs!$B$5+VLOOKUP("40",Inputs!$A$29:$K$33,10,FALSE())*(Inputs!$B$25/14)*Inputs!$B$12+VLOOKUP("40",Inputs!$A$29:$K$33,11,FALSE())*(Inputs!$B$25/14)*Inputs!$B$13)))</f>
        <v>176.448106847659</v>
      </c>
      <c r="E218" s="25" t="n">
        <f aca="false">0</f>
        <v>0</v>
      </c>
      <c r="F21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19" customFormat="false" ht="15" hidden="false" customHeight="true" outlineLevel="0" collapsed="false">
      <c r="A219" s="23" t="n">
        <v>3</v>
      </c>
      <c r="B219" s="24" t="b">
        <f aca="false">A219&lt;=Inputs!$B$17</f>
        <v>1</v>
      </c>
      <c r="C219" s="25" t="n">
        <f aca="false">C218*(1-Inputs!$B$22*(0.9^(A219-2)))</f>
        <v>0.2338203</v>
      </c>
      <c r="D219" s="26" t="n">
        <f aca="false">IF(B219,C219*(VLOOKUP("40",Inputs!$A$29:$K$33,3,FALSE())*(Inputs!$B$25/14)*Inputs!$B$5+VLOOKUP("40",Inputs!$A$29:$K$33,4,FALSE())*(Inputs!$B$25/14)*Inputs!$B$12+VLOOKUP("40",Inputs!$A$29:$K$33,5,FALSE())*(Inputs!$B$25/14)*Inputs!$B$13)+(1-C219)*(VLOOKUP("40",Inputs!$A$29:$K$33,6,FALSE())*(Inputs!$B$25/14)*Inputs!$B$5+VLOOKUP("40",Inputs!$A$29:$K$33,7,FALSE())*(Inputs!$B$25/14)*Inputs!$B$12+VLOOKUP("40",Inputs!$A$29:$K$33,8,FALSE())*(Inputs!$B$25/14)*Inputs!$B$13),C219*((VLOOKUP("40",Inputs!$A$29:$K$33,3,FALSE())*(Inputs!$B$25/14)*Inputs!$B$5+VLOOKUP("40",Inputs!$A$29:$K$33,4,FALSE())*(Inputs!$B$25/14)*Inputs!$B$12+VLOOKUP("40",Inputs!$A$29:$K$33,5,FALSE())*(Inputs!$B$25/14)*Inputs!$B$13)+Inputs!$B$18)+(1-C219)*((VLOOKUP("40",Inputs!$A$29:$K$33,9,FALSE())*(Inputs!$B$25/14)*Inputs!$B$5+VLOOKUP("40",Inputs!$A$29:$K$33,10,FALSE())*(Inputs!$B$25/14)*Inputs!$B$12+VLOOKUP("40",Inputs!$A$29:$K$33,11,FALSE())*(Inputs!$B$25/14)*Inputs!$B$13)))</f>
        <v>181.977780176399</v>
      </c>
      <c r="E219" s="25" t="n">
        <f aca="false">0</f>
        <v>0</v>
      </c>
      <c r="F21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0" customFormat="false" ht="15" hidden="false" customHeight="true" outlineLevel="0" collapsed="false">
      <c r="A220" s="23" t="n">
        <v>4</v>
      </c>
      <c r="B220" s="24" t="b">
        <f aca="false">A220&lt;=Inputs!$B$17</f>
        <v>0</v>
      </c>
      <c r="C220" s="25" t="n">
        <f aca="false">C219*(1-Inputs!$B$22*(0.9^(A220-2)))</f>
        <v>0.17510802267</v>
      </c>
      <c r="D220" s="26" t="n">
        <f aca="false">IF(B220,C220*(VLOOKUP("40",Inputs!$A$29:$K$33,3,FALSE())*(Inputs!$B$25/14)*Inputs!$B$5+VLOOKUP("40",Inputs!$A$29:$K$33,4,FALSE())*(Inputs!$B$25/14)*Inputs!$B$12+VLOOKUP("40",Inputs!$A$29:$K$33,5,FALSE())*(Inputs!$B$25/14)*Inputs!$B$13)+(1-C220)*(VLOOKUP("40",Inputs!$A$29:$K$33,6,FALSE())*(Inputs!$B$25/14)*Inputs!$B$5+VLOOKUP("40",Inputs!$A$29:$K$33,7,FALSE())*(Inputs!$B$25/14)*Inputs!$B$12+VLOOKUP("40",Inputs!$A$29:$K$33,8,FALSE())*(Inputs!$B$25/14)*Inputs!$B$13),C220*((VLOOKUP("40",Inputs!$A$29:$K$33,3,FALSE())*(Inputs!$B$25/14)*Inputs!$B$5+VLOOKUP("40",Inputs!$A$29:$K$33,4,FALSE())*(Inputs!$B$25/14)*Inputs!$B$12+VLOOKUP("40",Inputs!$A$29:$K$33,5,FALSE())*(Inputs!$B$25/14)*Inputs!$B$13)+Inputs!$B$18)+(1-C220)*((VLOOKUP("40",Inputs!$A$29:$K$33,9,FALSE())*(Inputs!$B$25/14)*Inputs!$B$5+VLOOKUP("40",Inputs!$A$29:$K$33,10,FALSE())*(Inputs!$B$25/14)*Inputs!$B$12+VLOOKUP("40",Inputs!$A$29:$K$33,11,FALSE())*(Inputs!$B$25/14)*Inputs!$B$13)))</f>
        <v>213.446714399116</v>
      </c>
      <c r="E220" s="25" t="n">
        <f aca="false">0</f>
        <v>0</v>
      </c>
      <c r="F22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1" customFormat="false" ht="15" hidden="false" customHeight="true" outlineLevel="0" collapsed="false">
      <c r="A221" s="23" t="n">
        <v>5</v>
      </c>
      <c r="B221" s="24" t="b">
        <f aca="false">A221&lt;=Inputs!$B$17</f>
        <v>0</v>
      </c>
      <c r="C221" s="25" t="n">
        <f aca="false">C220*(1-Inputs!$B$22*(0.9^(A221-2)))</f>
        <v>0.135535360626807</v>
      </c>
      <c r="D221" s="26" t="n">
        <f aca="false">IF(B221,C221*(VLOOKUP("40",Inputs!$A$29:$K$33,3,FALSE())*(Inputs!$B$25/14)*Inputs!$B$5+VLOOKUP("40",Inputs!$A$29:$K$33,4,FALSE())*(Inputs!$B$25/14)*Inputs!$B$12+VLOOKUP("40",Inputs!$A$29:$K$33,5,FALSE())*(Inputs!$B$25/14)*Inputs!$B$13)+(1-C221)*(VLOOKUP("40",Inputs!$A$29:$K$33,6,FALSE())*(Inputs!$B$25/14)*Inputs!$B$5+VLOOKUP("40",Inputs!$A$29:$K$33,7,FALSE())*(Inputs!$B$25/14)*Inputs!$B$12+VLOOKUP("40",Inputs!$A$29:$K$33,8,FALSE())*(Inputs!$B$25/14)*Inputs!$B$13),C221*((VLOOKUP("40",Inputs!$A$29:$K$33,3,FALSE())*(Inputs!$B$25/14)*Inputs!$B$5+VLOOKUP("40",Inputs!$A$29:$K$33,4,FALSE())*(Inputs!$B$25/14)*Inputs!$B$12+VLOOKUP("40",Inputs!$A$29:$K$33,5,FALSE())*(Inputs!$B$25/14)*Inputs!$B$13)+Inputs!$B$18)+(1-C221)*((VLOOKUP("40",Inputs!$A$29:$K$33,9,FALSE())*(Inputs!$B$25/14)*Inputs!$B$5+VLOOKUP("40",Inputs!$A$29:$K$33,10,FALSE())*(Inputs!$B$25/14)*Inputs!$B$12+VLOOKUP("40",Inputs!$A$29:$K$33,11,FALSE())*(Inputs!$B$25/14)*Inputs!$B$13)))</f>
        <v>207.208321609272</v>
      </c>
      <c r="E221" s="25" t="n">
        <f aca="false">0</f>
        <v>0</v>
      </c>
      <c r="F22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2" customFormat="false" ht="15" hidden="false" customHeight="true" outlineLevel="0" collapsed="false">
      <c r="A222" s="23" t="n">
        <v>6</v>
      </c>
      <c r="B222" s="24" t="b">
        <f aca="false">A222&lt;=Inputs!$B$17</f>
        <v>0</v>
      </c>
      <c r="C222" s="25" t="n">
        <f aca="false">C221*(1-Inputs!$B$22*(0.9^(A222-2)))</f>
        <v>0.10796868809356</v>
      </c>
      <c r="D222" s="26" t="n">
        <f aca="false">IF(B222,C222*(VLOOKUP("40",Inputs!$A$29:$K$33,3,FALSE())*(Inputs!$B$25/14)*Inputs!$B$5+VLOOKUP("40",Inputs!$A$29:$K$33,4,FALSE())*(Inputs!$B$25/14)*Inputs!$B$12+VLOOKUP("40",Inputs!$A$29:$K$33,5,FALSE())*(Inputs!$B$25/14)*Inputs!$B$13)+(1-C222)*(VLOOKUP("40",Inputs!$A$29:$K$33,6,FALSE())*(Inputs!$B$25/14)*Inputs!$B$5+VLOOKUP("40",Inputs!$A$29:$K$33,7,FALSE())*(Inputs!$B$25/14)*Inputs!$B$12+VLOOKUP("40",Inputs!$A$29:$K$33,8,FALSE())*(Inputs!$B$25/14)*Inputs!$B$13),C222*((VLOOKUP("40",Inputs!$A$29:$K$33,3,FALSE())*(Inputs!$B$25/14)*Inputs!$B$5+VLOOKUP("40",Inputs!$A$29:$K$33,4,FALSE())*(Inputs!$B$25/14)*Inputs!$B$12+VLOOKUP("40",Inputs!$A$29:$K$33,5,FALSE())*(Inputs!$B$25/14)*Inputs!$B$13)+Inputs!$B$18)+(1-C222)*((VLOOKUP("40",Inputs!$A$29:$K$33,9,FALSE())*(Inputs!$B$25/14)*Inputs!$B$5+VLOOKUP("40",Inputs!$A$29:$K$33,10,FALSE())*(Inputs!$B$25/14)*Inputs!$B$12+VLOOKUP("40",Inputs!$A$29:$K$33,11,FALSE())*(Inputs!$B$25/14)*Inputs!$B$13)))</f>
        <v>202.862601046331</v>
      </c>
      <c r="E222" s="25" t="n">
        <f aca="false">0</f>
        <v>0</v>
      </c>
      <c r="F22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3" customFormat="false" ht="15" hidden="false" customHeight="true" outlineLevel="0" collapsed="false">
      <c r="A223" s="23" t="n">
        <v>7</v>
      </c>
      <c r="B223" s="24" t="b">
        <f aca="false">A223&lt;=Inputs!$B$17</f>
        <v>0</v>
      </c>
      <c r="C223" s="25" t="n">
        <f aca="false">C222*(1-Inputs!$B$22*(0.9^(A223-2)))</f>
        <v>0.0882048145975263</v>
      </c>
      <c r="D223" s="26" t="n">
        <f aca="false">IF(B223,C223*(VLOOKUP("40",Inputs!$A$29:$K$33,3,FALSE())*(Inputs!$B$25/14)*Inputs!$B$5+VLOOKUP("40",Inputs!$A$29:$K$33,4,FALSE())*(Inputs!$B$25/14)*Inputs!$B$12+VLOOKUP("40",Inputs!$A$29:$K$33,5,FALSE())*(Inputs!$B$25/14)*Inputs!$B$13)+(1-C223)*(VLOOKUP("40",Inputs!$A$29:$K$33,6,FALSE())*(Inputs!$B$25/14)*Inputs!$B$5+VLOOKUP("40",Inputs!$A$29:$K$33,7,FALSE())*(Inputs!$B$25/14)*Inputs!$B$12+VLOOKUP("40",Inputs!$A$29:$K$33,8,FALSE())*(Inputs!$B$25/14)*Inputs!$B$13),C223*((VLOOKUP("40",Inputs!$A$29:$K$33,3,FALSE())*(Inputs!$B$25/14)*Inputs!$B$5+VLOOKUP("40",Inputs!$A$29:$K$33,4,FALSE())*(Inputs!$B$25/14)*Inputs!$B$12+VLOOKUP("40",Inputs!$A$29:$K$33,5,FALSE())*(Inputs!$B$25/14)*Inputs!$B$13)+Inputs!$B$18)+(1-C223)*((VLOOKUP("40",Inputs!$A$29:$K$33,9,FALSE())*(Inputs!$B$25/14)*Inputs!$B$5+VLOOKUP("40",Inputs!$A$29:$K$33,10,FALSE())*(Inputs!$B$25/14)*Inputs!$B$12+VLOOKUP("40",Inputs!$A$29:$K$33,11,FALSE())*(Inputs!$B$25/14)*Inputs!$B$13)))</f>
        <v>199.7469449456</v>
      </c>
      <c r="E223" s="25" t="n">
        <f aca="false">0</f>
        <v>0</v>
      </c>
      <c r="F22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4" customFormat="false" ht="15" hidden="false" customHeight="true" outlineLevel="0" collapsed="false">
      <c r="A224" s="23" t="n">
        <v>8</v>
      </c>
      <c r="B224" s="24" t="b">
        <f aca="false">A224&lt;=Inputs!$B$17</f>
        <v>0</v>
      </c>
      <c r="C224" s="25" t="n">
        <f aca="false">C223*(1-Inputs!$B$22*(0.9^(A224-2)))</f>
        <v>0.0736733615864239</v>
      </c>
      <c r="D224" s="26" t="n">
        <f aca="false">IF(B224,C224*(VLOOKUP("40",Inputs!$A$29:$K$33,3,FALSE())*(Inputs!$B$25/14)*Inputs!$B$5+VLOOKUP("40",Inputs!$A$29:$K$33,4,FALSE())*(Inputs!$B$25/14)*Inputs!$B$12+VLOOKUP("40",Inputs!$A$29:$K$33,5,FALSE())*(Inputs!$B$25/14)*Inputs!$B$13)+(1-C224)*(VLOOKUP("40",Inputs!$A$29:$K$33,6,FALSE())*(Inputs!$B$25/14)*Inputs!$B$5+VLOOKUP("40",Inputs!$A$29:$K$33,7,FALSE())*(Inputs!$B$25/14)*Inputs!$B$12+VLOOKUP("40",Inputs!$A$29:$K$33,8,FALSE())*(Inputs!$B$25/14)*Inputs!$B$13),C224*((VLOOKUP("40",Inputs!$A$29:$K$33,3,FALSE())*(Inputs!$B$25/14)*Inputs!$B$5+VLOOKUP("40",Inputs!$A$29:$K$33,4,FALSE())*(Inputs!$B$25/14)*Inputs!$B$12+VLOOKUP("40",Inputs!$A$29:$K$33,5,FALSE())*(Inputs!$B$25/14)*Inputs!$B$13)+Inputs!$B$18)+(1-C224)*((VLOOKUP("40",Inputs!$A$29:$K$33,9,FALSE())*(Inputs!$B$25/14)*Inputs!$B$5+VLOOKUP("40",Inputs!$A$29:$K$33,10,FALSE())*(Inputs!$B$25/14)*Inputs!$B$12+VLOOKUP("40",Inputs!$A$29:$K$33,11,FALSE())*(Inputs!$B$25/14)*Inputs!$B$13)))</f>
        <v>197.456148547029</v>
      </c>
      <c r="E224" s="25" t="n">
        <f aca="false">0</f>
        <v>0</v>
      </c>
      <c r="F22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5" customFormat="false" ht="15" hidden="false" customHeight="true" outlineLevel="0" collapsed="false">
      <c r="A225" s="23" t="n">
        <v>9</v>
      </c>
      <c r="B225" s="24" t="b">
        <f aca="false">A225&lt;=Inputs!$B$17</f>
        <v>0</v>
      </c>
      <c r="C225" s="25" t="n">
        <f aca="false">C224*(1-Inputs!$B$22*(0.9^(A225-2)))</f>
        <v>0.0627496620440206</v>
      </c>
      <c r="D225" s="26" t="n">
        <f aca="false">IF(B225,C225*(VLOOKUP("40",Inputs!$A$29:$K$33,3,FALSE())*(Inputs!$B$25/14)*Inputs!$B$5+VLOOKUP("40",Inputs!$A$29:$K$33,4,FALSE())*(Inputs!$B$25/14)*Inputs!$B$12+VLOOKUP("40",Inputs!$A$29:$K$33,5,FALSE())*(Inputs!$B$25/14)*Inputs!$B$13)+(1-C225)*(VLOOKUP("40",Inputs!$A$29:$K$33,6,FALSE())*(Inputs!$B$25/14)*Inputs!$B$5+VLOOKUP("40",Inputs!$A$29:$K$33,7,FALSE())*(Inputs!$B$25/14)*Inputs!$B$12+VLOOKUP("40",Inputs!$A$29:$K$33,8,FALSE())*(Inputs!$B$25/14)*Inputs!$B$13),C225*((VLOOKUP("40",Inputs!$A$29:$K$33,3,FALSE())*(Inputs!$B$25/14)*Inputs!$B$5+VLOOKUP("40",Inputs!$A$29:$K$33,4,FALSE())*(Inputs!$B$25/14)*Inputs!$B$12+VLOOKUP("40",Inputs!$A$29:$K$33,5,FALSE())*(Inputs!$B$25/14)*Inputs!$B$13)+Inputs!$B$18)+(1-C225)*((VLOOKUP("40",Inputs!$A$29:$K$33,9,FALSE())*(Inputs!$B$25/14)*Inputs!$B$5+VLOOKUP("40",Inputs!$A$29:$K$33,10,FALSE())*(Inputs!$B$25/14)*Inputs!$B$12+VLOOKUP("40",Inputs!$A$29:$K$33,11,FALSE())*(Inputs!$B$25/14)*Inputs!$B$13)))</f>
        <v>195.734092841265</v>
      </c>
      <c r="E225" s="25" t="n">
        <f aca="false">0</f>
        <v>0</v>
      </c>
      <c r="F22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6" customFormat="false" ht="15" hidden="false" customHeight="true" outlineLevel="0" collapsed="false">
      <c r="A226" s="23" t="n">
        <v>10</v>
      </c>
      <c r="B226" s="24" t="b">
        <f aca="false">A226&lt;=Inputs!$B$17</f>
        <v>0</v>
      </c>
      <c r="C226" s="25" t="n">
        <f aca="false">C225*(1-Inputs!$B$22*(0.9^(A226-2)))</f>
        <v>0.0543760437399755</v>
      </c>
      <c r="D226" s="26" t="n">
        <f aca="false">IF(B226,C226*(VLOOKUP("40",Inputs!$A$29:$K$33,3,FALSE())*(Inputs!$B$25/14)*Inputs!$B$5+VLOOKUP("40",Inputs!$A$29:$K$33,4,FALSE())*(Inputs!$B$25/14)*Inputs!$B$12+VLOOKUP("40",Inputs!$A$29:$K$33,5,FALSE())*(Inputs!$B$25/14)*Inputs!$B$13)+(1-C226)*(VLOOKUP("40",Inputs!$A$29:$K$33,6,FALSE())*(Inputs!$B$25/14)*Inputs!$B$5+VLOOKUP("40",Inputs!$A$29:$K$33,7,FALSE())*(Inputs!$B$25/14)*Inputs!$B$12+VLOOKUP("40",Inputs!$A$29:$K$33,8,FALSE())*(Inputs!$B$25/14)*Inputs!$B$13),C226*((VLOOKUP("40",Inputs!$A$29:$K$33,3,FALSE())*(Inputs!$B$25/14)*Inputs!$B$5+VLOOKUP("40",Inputs!$A$29:$K$33,4,FALSE())*(Inputs!$B$25/14)*Inputs!$B$12+VLOOKUP("40",Inputs!$A$29:$K$33,5,FALSE())*(Inputs!$B$25/14)*Inputs!$B$13)+Inputs!$B$18)+(1-C226)*((VLOOKUP("40",Inputs!$A$29:$K$33,9,FALSE())*(Inputs!$B$25/14)*Inputs!$B$5+VLOOKUP("40",Inputs!$A$29:$K$33,10,FALSE())*(Inputs!$B$25/14)*Inputs!$B$12+VLOOKUP("40",Inputs!$A$29:$K$33,11,FALSE())*(Inputs!$B$25/14)*Inputs!$B$13)))</f>
        <v>194.414042145766</v>
      </c>
      <c r="E226" s="25" t="n">
        <f aca="false">0</f>
        <v>0</v>
      </c>
      <c r="F22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7" customFormat="false" ht="15" hidden="false" customHeight="true" outlineLevel="0" collapsed="false">
      <c r="A227" s="23" t="n">
        <v>11</v>
      </c>
      <c r="B227" s="24" t="b">
        <f aca="false">A227&lt;=Inputs!$B$17</f>
        <v>0</v>
      </c>
      <c r="C227" s="25" t="n">
        <f aca="false">C226*(1-Inputs!$B$22*(0.9^(A227-2)))</f>
        <v>0.0478454617687312</v>
      </c>
      <c r="D227" s="26" t="n">
        <f aca="false">IF(B227,C227*(VLOOKUP("40",Inputs!$A$29:$K$33,3,FALSE())*(Inputs!$B$25/14)*Inputs!$B$5+VLOOKUP("40",Inputs!$A$29:$K$33,4,FALSE())*(Inputs!$B$25/14)*Inputs!$B$12+VLOOKUP("40",Inputs!$A$29:$K$33,5,FALSE())*(Inputs!$B$25/14)*Inputs!$B$13)+(1-C227)*(VLOOKUP("40",Inputs!$A$29:$K$33,6,FALSE())*(Inputs!$B$25/14)*Inputs!$B$5+VLOOKUP("40",Inputs!$A$29:$K$33,7,FALSE())*(Inputs!$B$25/14)*Inputs!$B$12+VLOOKUP("40",Inputs!$A$29:$K$33,8,FALSE())*(Inputs!$B$25/14)*Inputs!$B$13),C227*((VLOOKUP("40",Inputs!$A$29:$K$33,3,FALSE())*(Inputs!$B$25/14)*Inputs!$B$5+VLOOKUP("40",Inputs!$A$29:$K$33,4,FALSE())*(Inputs!$B$25/14)*Inputs!$B$12+VLOOKUP("40",Inputs!$A$29:$K$33,5,FALSE())*(Inputs!$B$25/14)*Inputs!$B$13)+Inputs!$B$18)+(1-C227)*((VLOOKUP("40",Inputs!$A$29:$K$33,9,FALSE())*(Inputs!$B$25/14)*Inputs!$B$5+VLOOKUP("40",Inputs!$A$29:$K$33,10,FALSE())*(Inputs!$B$25/14)*Inputs!$B$12+VLOOKUP("40",Inputs!$A$29:$K$33,11,FALSE())*(Inputs!$B$25/14)*Inputs!$B$13)))</f>
        <v>193.384535072463</v>
      </c>
      <c r="E227" s="25" t="n">
        <f aca="false">0</f>
        <v>0</v>
      </c>
      <c r="F22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8" customFormat="false" ht="15" hidden="false" customHeight="true" outlineLevel="0" collapsed="false">
      <c r="A228" s="23" t="n">
        <v>12</v>
      </c>
      <c r="B228" s="24" t="b">
        <f aca="false">A228&lt;=Inputs!$B$17</f>
        <v>0</v>
      </c>
      <c r="C228" s="25" t="n">
        <f aca="false">C227*(1-Inputs!$B$22*(0.9^(A228-2)))</f>
        <v>0.0426738306663617</v>
      </c>
      <c r="D228" s="26" t="n">
        <f aca="false">IF(B228,C228*(VLOOKUP("40",Inputs!$A$29:$K$33,3,FALSE())*(Inputs!$B$25/14)*Inputs!$B$5+VLOOKUP("40",Inputs!$A$29:$K$33,4,FALSE())*(Inputs!$B$25/14)*Inputs!$B$12+VLOOKUP("40",Inputs!$A$29:$K$33,5,FALSE())*(Inputs!$B$25/14)*Inputs!$B$13)+(1-C228)*(VLOOKUP("40",Inputs!$A$29:$K$33,6,FALSE())*(Inputs!$B$25/14)*Inputs!$B$5+VLOOKUP("40",Inputs!$A$29:$K$33,7,FALSE())*(Inputs!$B$25/14)*Inputs!$B$12+VLOOKUP("40",Inputs!$A$29:$K$33,8,FALSE())*(Inputs!$B$25/14)*Inputs!$B$13),C228*((VLOOKUP("40",Inputs!$A$29:$K$33,3,FALSE())*(Inputs!$B$25/14)*Inputs!$B$5+VLOOKUP("40",Inputs!$A$29:$K$33,4,FALSE())*(Inputs!$B$25/14)*Inputs!$B$12+VLOOKUP("40",Inputs!$A$29:$K$33,5,FALSE())*(Inputs!$B$25/14)*Inputs!$B$13)+Inputs!$B$18)+(1-C228)*((VLOOKUP("40",Inputs!$A$29:$K$33,9,FALSE())*(Inputs!$B$25/14)*Inputs!$B$5+VLOOKUP("40",Inputs!$A$29:$K$33,10,FALSE())*(Inputs!$B$25/14)*Inputs!$B$12+VLOOKUP("40",Inputs!$A$29:$K$33,11,FALSE())*(Inputs!$B$25/14)*Inputs!$B$13)))</f>
        <v>192.569258451812</v>
      </c>
      <c r="E228" s="25" t="n">
        <f aca="false">0</f>
        <v>0</v>
      </c>
      <c r="F22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29" customFormat="false" ht="15" hidden="false" customHeight="true" outlineLevel="0" collapsed="false">
      <c r="A229" s="27" t="s">
        <v>125</v>
      </c>
      <c r="D229" s="28" t="n">
        <f aca="false">SUM(D217:D228)</f>
        <v>2322.79218702258</v>
      </c>
      <c r="F229" s="28" t="n">
        <f aca="false">SUM(F217:F228)</f>
        <v>3915.17838956203</v>
      </c>
    </row>
    <row r="231" customFormat="false" ht="15" hidden="false" customHeight="true" outlineLevel="0" collapsed="false">
      <c r="A231" s="27" t="s">
        <v>161</v>
      </c>
    </row>
    <row r="232" customFormat="false" ht="21.75" hidden="false" customHeight="true" outlineLevel="0" collapsed="false">
      <c r="A232" s="43" t="s">
        <v>92</v>
      </c>
      <c r="B232" s="43" t="s">
        <v>145</v>
      </c>
      <c r="C232" s="43" t="s">
        <v>146</v>
      </c>
      <c r="D232" s="43" t="s">
        <v>147</v>
      </c>
      <c r="E232" s="43" t="s">
        <v>148</v>
      </c>
      <c r="F232" s="43" t="s">
        <v>149</v>
      </c>
    </row>
    <row r="233" customFormat="false" ht="15" hidden="false" customHeight="true" outlineLevel="0" collapsed="false">
      <c r="A233" s="23" t="n">
        <v>1</v>
      </c>
      <c r="B233" s="24" t="b">
        <f aca="false">A233&lt;=Inputs!$B$17</f>
        <v>1</v>
      </c>
      <c r="C233" s="25" t="n">
        <f aca="false">VLOOKUP("50m",Inputs!$A$29:$K$33,2,FALSE())</f>
        <v>0.4</v>
      </c>
      <c r="D233" s="26" t="n">
        <f aca="false">IF(B233,C233*(VLOOKUP("50m",Inputs!$A$29:$K$33,3,FALSE())*(Inputs!$B$25/14)*Inputs!$B$5+VLOOKUP("50m",Inputs!$A$29:$K$33,4,FALSE())*(Inputs!$B$25/14)*Inputs!$B$12+VLOOKUP("50m",Inputs!$A$29:$K$33,5,FALSE())*(Inputs!$B$25/14)*Inputs!$B$13)+(1-C233)*(VLOOKUP("50m",Inputs!$A$29:$K$33,6,FALSE())*(Inputs!$B$25/14)*Inputs!$B$5+VLOOKUP("50m",Inputs!$A$29:$K$33,7,FALSE())*(Inputs!$B$25/14)*Inputs!$B$12+VLOOKUP("50m",Inputs!$A$29:$K$33,8,FALSE())*(Inputs!$B$25/14)*Inputs!$B$13),C233*((VLOOKUP("50m",Inputs!$A$29:$K$33,3,FALSE())*(Inputs!$B$25/14)*Inputs!$B$5+VLOOKUP("50m",Inputs!$A$29:$K$33,4,FALSE())*(Inputs!$B$25/14)*Inputs!$B$12+VLOOKUP("50m",Inputs!$A$29:$K$33,5,FALSE())*(Inputs!$B$25/14)*Inputs!$B$13)+Inputs!$B$18)+(1-C233)*((INDEX(Inputs!$A$37:$C$37,1,1)*(Inputs!$B$25/14)*Inputs!$B$5+INDEX(Inputs!$A$37:$C$37,1,2)*(Inputs!$B$25/14)*Inputs!$B$12+INDEX(Inputs!$A$37:$C$37,1,3)*(Inputs!$B$25/14)*Inputs!$B$13)))</f>
        <v>252.821009984821</v>
      </c>
      <c r="E233" s="25" t="n">
        <f aca="false">Inputs!$B$21</f>
        <v>0.083</v>
      </c>
      <c r="F233" s="26" t="n">
        <f aca="false">E233*(VLOOKUP("50m",Inputs!$A$29:$K$33,3,FALSE())*(Inputs!$B$25/14)*Inputs!$B$5+VLOOKUP("50m",Inputs!$A$29:$K$33,4,FALSE())*(Inputs!$B$25/14)*Inputs!$B$12+VLOOKUP("50m",Inputs!$A$29:$K$33,5,FALSE())*(Inputs!$B$25/14)*Inputs!$B$13)+(1-E233)*(INDEX(Inputs!$A$37:$C$37,1,1)*(Inputs!$B$25/14)*Inputs!$B$5+INDEX(Inputs!$A$37:$C$37,1,2)*(Inputs!$B$25/14)*Inputs!$B$12+INDEX(Inputs!$A$37:$C$37,1,3)*(Inputs!$B$25/14)*Inputs!$B$13)</f>
        <v>312.080135529719</v>
      </c>
    </row>
    <row r="234" customFormat="false" ht="15" hidden="false" customHeight="true" outlineLevel="0" collapsed="false">
      <c r="A234" s="23" t="n">
        <v>2</v>
      </c>
      <c r="B234" s="24" t="b">
        <f aca="false">A234&lt;=Inputs!$B$17</f>
        <v>1</v>
      </c>
      <c r="C234" s="25" t="n">
        <f aca="false">IF(A234=2,C233*(1-Inputs!$B$22),C233)</f>
        <v>0.276</v>
      </c>
      <c r="D234" s="26" t="n">
        <f aca="false">IF(B234,C234*(VLOOKUP("50m",Inputs!$A$29:$K$33,3,FALSE())*(Inputs!$B$25/14)*Inputs!$B$5+VLOOKUP("50m",Inputs!$A$29:$K$33,4,FALSE())*(Inputs!$B$25/14)*Inputs!$B$12+VLOOKUP("50m",Inputs!$A$29:$K$33,5,FALSE())*(Inputs!$B$25/14)*Inputs!$B$13)+(1-C234)*(VLOOKUP("50m",Inputs!$A$29:$K$33,6,FALSE())*(Inputs!$B$25/14)*Inputs!$B$5+VLOOKUP("50m",Inputs!$A$29:$K$33,7,FALSE())*(Inputs!$B$25/14)*Inputs!$B$12+VLOOKUP("50m",Inputs!$A$29:$K$33,8,FALSE())*(Inputs!$B$25/14)*Inputs!$B$13),C234*((VLOOKUP("50m",Inputs!$A$29:$K$33,3,FALSE())*(Inputs!$B$25/14)*Inputs!$B$5+VLOOKUP("50m",Inputs!$A$29:$K$33,4,FALSE())*(Inputs!$B$25/14)*Inputs!$B$12+VLOOKUP("50m",Inputs!$A$29:$K$33,5,FALSE())*(Inputs!$B$25/14)*Inputs!$B$13)+Inputs!$B$18)+(1-C234)*((INDEX(Inputs!$A$37:$C$37,1,1)*(Inputs!$B$25/14)*Inputs!$B$5+INDEX(Inputs!$A$37:$C$37,1,2)*(Inputs!$B$25/14)*Inputs!$B$12+INDEX(Inputs!$A$37:$C$37,1,3)*(Inputs!$B$25/14)*Inputs!$B$13)))</f>
        <v>276.001235750018</v>
      </c>
      <c r="E234" s="25" t="n">
        <f aca="false">0</f>
        <v>0</v>
      </c>
      <c r="F23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35" customFormat="false" ht="15" hidden="false" customHeight="true" outlineLevel="0" collapsed="false">
      <c r="A235" s="23" t="n">
        <v>3</v>
      </c>
      <c r="B235" s="24" t="b">
        <f aca="false">A235&lt;=Inputs!$B$17</f>
        <v>1</v>
      </c>
      <c r="C235" s="25" t="n">
        <f aca="false">IF(A235=2,C234*(1-Inputs!$B$22),C234)</f>
        <v>0.276</v>
      </c>
      <c r="D235" s="26" t="n">
        <f aca="false">IF(B235,C235*(VLOOKUP("50m",Inputs!$A$29:$K$33,3,FALSE())*(Inputs!$B$25/14)*Inputs!$B$5+VLOOKUP("50m",Inputs!$A$29:$K$33,4,FALSE())*(Inputs!$B$25/14)*Inputs!$B$12+VLOOKUP("50m",Inputs!$A$29:$K$33,5,FALSE())*(Inputs!$B$25/14)*Inputs!$B$13)+(1-C235)*(VLOOKUP("50m",Inputs!$A$29:$K$33,6,FALSE())*(Inputs!$B$25/14)*Inputs!$B$5+VLOOKUP("50m",Inputs!$A$29:$K$33,7,FALSE())*(Inputs!$B$25/14)*Inputs!$B$12+VLOOKUP("50m",Inputs!$A$29:$K$33,8,FALSE())*(Inputs!$B$25/14)*Inputs!$B$13),C235*((VLOOKUP("50m",Inputs!$A$29:$K$33,3,FALSE())*(Inputs!$B$25/14)*Inputs!$B$5+VLOOKUP("50m",Inputs!$A$29:$K$33,4,FALSE())*(Inputs!$B$25/14)*Inputs!$B$12+VLOOKUP("50m",Inputs!$A$29:$K$33,5,FALSE())*(Inputs!$B$25/14)*Inputs!$B$13)+Inputs!$B$18)+(1-C235)*((INDEX(Inputs!$A$37:$C$37,1,1)*(Inputs!$B$25/14)*Inputs!$B$5+INDEX(Inputs!$A$37:$C$37,1,2)*(Inputs!$B$25/14)*Inputs!$B$12+INDEX(Inputs!$A$37:$C$37,1,3)*(Inputs!$B$25/14)*Inputs!$B$13)))</f>
        <v>276.001235750018</v>
      </c>
      <c r="E235" s="25" t="n">
        <f aca="false">0</f>
        <v>0</v>
      </c>
      <c r="F23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36" customFormat="false" ht="15" hidden="false" customHeight="true" outlineLevel="0" collapsed="false">
      <c r="A236" s="23" t="n">
        <v>4</v>
      </c>
      <c r="B236" s="24" t="b">
        <f aca="false">A236&lt;=Inputs!$B$17</f>
        <v>0</v>
      </c>
      <c r="C236" s="25" t="n">
        <f aca="false">IF(A236=2,C235*(1-Inputs!$B$22),C235)</f>
        <v>0.276</v>
      </c>
      <c r="D236" s="26" t="n">
        <f aca="false">IF(B236,C236*(VLOOKUP("50m",Inputs!$A$29:$K$33,3,FALSE())*(Inputs!$B$25/14)*Inputs!$B$5+VLOOKUP("50m",Inputs!$A$29:$K$33,4,FALSE())*(Inputs!$B$25/14)*Inputs!$B$12+VLOOKUP("50m",Inputs!$A$29:$K$33,5,FALSE())*(Inputs!$B$25/14)*Inputs!$B$13)+(1-C236)*(VLOOKUP("50m",Inputs!$A$29:$K$33,6,FALSE())*(Inputs!$B$25/14)*Inputs!$B$5+VLOOKUP("50m",Inputs!$A$29:$K$33,7,FALSE())*(Inputs!$B$25/14)*Inputs!$B$12+VLOOKUP("50m",Inputs!$A$29:$K$33,8,FALSE())*(Inputs!$B$25/14)*Inputs!$B$13),C236*((VLOOKUP("50m",Inputs!$A$29:$K$33,3,FALSE())*(Inputs!$B$25/14)*Inputs!$B$5+VLOOKUP("50m",Inputs!$A$29:$K$33,4,FALSE())*(Inputs!$B$25/14)*Inputs!$B$12+VLOOKUP("50m",Inputs!$A$29:$K$33,5,FALSE())*(Inputs!$B$25/14)*Inputs!$B$13)+Inputs!$B$18)+(1-C236)*((INDEX(Inputs!$A$37:$C$37,1,1)*(Inputs!$B$25/14)*Inputs!$B$5+INDEX(Inputs!$A$37:$C$37,1,2)*(Inputs!$B$25/14)*Inputs!$B$12+INDEX(Inputs!$A$37:$C$37,1,3)*(Inputs!$B$25/14)*Inputs!$B$13)))</f>
        <v>333.501235750018</v>
      </c>
      <c r="E236" s="25" t="n">
        <f aca="false">0</f>
        <v>0</v>
      </c>
      <c r="F23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37" customFormat="false" ht="15" hidden="false" customHeight="true" outlineLevel="0" collapsed="false">
      <c r="A237" s="23" t="n">
        <v>5</v>
      </c>
      <c r="B237" s="24" t="b">
        <f aca="false">A237&lt;=Inputs!$B$17</f>
        <v>0</v>
      </c>
      <c r="C237" s="25" t="n">
        <f aca="false">IF(A237=2,C236*(1-Inputs!$B$22),C236)</f>
        <v>0.276</v>
      </c>
      <c r="D237" s="26" t="n">
        <f aca="false">IF(B237,C237*(VLOOKUP("50m",Inputs!$A$29:$K$33,3,FALSE())*(Inputs!$B$25/14)*Inputs!$B$5+VLOOKUP("50m",Inputs!$A$29:$K$33,4,FALSE())*(Inputs!$B$25/14)*Inputs!$B$12+VLOOKUP("50m",Inputs!$A$29:$K$33,5,FALSE())*(Inputs!$B$25/14)*Inputs!$B$13)+(1-C237)*(VLOOKUP("50m",Inputs!$A$29:$K$33,6,FALSE())*(Inputs!$B$25/14)*Inputs!$B$5+VLOOKUP("50m",Inputs!$A$29:$K$33,7,FALSE())*(Inputs!$B$25/14)*Inputs!$B$12+VLOOKUP("50m",Inputs!$A$29:$K$33,8,FALSE())*(Inputs!$B$25/14)*Inputs!$B$13),C237*((VLOOKUP("50m",Inputs!$A$29:$K$33,3,FALSE())*(Inputs!$B$25/14)*Inputs!$B$5+VLOOKUP("50m",Inputs!$A$29:$K$33,4,FALSE())*(Inputs!$B$25/14)*Inputs!$B$12+VLOOKUP("50m",Inputs!$A$29:$K$33,5,FALSE())*(Inputs!$B$25/14)*Inputs!$B$13)+Inputs!$B$18)+(1-C237)*((INDEX(Inputs!$A$37:$C$37,1,1)*(Inputs!$B$25/14)*Inputs!$B$5+INDEX(Inputs!$A$37:$C$37,1,2)*(Inputs!$B$25/14)*Inputs!$B$12+INDEX(Inputs!$A$37:$C$37,1,3)*(Inputs!$B$25/14)*Inputs!$B$13)))</f>
        <v>333.501235750018</v>
      </c>
      <c r="E237" s="25" t="n">
        <f aca="false">0</f>
        <v>0</v>
      </c>
      <c r="F23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38" customFormat="false" ht="15" hidden="false" customHeight="true" outlineLevel="0" collapsed="false">
      <c r="A238" s="23" t="n">
        <v>6</v>
      </c>
      <c r="B238" s="24" t="b">
        <f aca="false">A238&lt;=Inputs!$B$17</f>
        <v>0</v>
      </c>
      <c r="C238" s="25" t="n">
        <f aca="false">IF(A238=2,C237*(1-Inputs!$B$22),C237)</f>
        <v>0.276</v>
      </c>
      <c r="D238" s="26" t="n">
        <f aca="false">IF(B238,C238*(VLOOKUP("50m",Inputs!$A$29:$K$33,3,FALSE())*(Inputs!$B$25/14)*Inputs!$B$5+VLOOKUP("50m",Inputs!$A$29:$K$33,4,FALSE())*(Inputs!$B$25/14)*Inputs!$B$12+VLOOKUP("50m",Inputs!$A$29:$K$33,5,FALSE())*(Inputs!$B$25/14)*Inputs!$B$13)+(1-C238)*(VLOOKUP("50m",Inputs!$A$29:$K$33,6,FALSE())*(Inputs!$B$25/14)*Inputs!$B$5+VLOOKUP("50m",Inputs!$A$29:$K$33,7,FALSE())*(Inputs!$B$25/14)*Inputs!$B$12+VLOOKUP("50m",Inputs!$A$29:$K$33,8,FALSE())*(Inputs!$B$25/14)*Inputs!$B$13),C238*((VLOOKUP("50m",Inputs!$A$29:$K$33,3,FALSE())*(Inputs!$B$25/14)*Inputs!$B$5+VLOOKUP("50m",Inputs!$A$29:$K$33,4,FALSE())*(Inputs!$B$25/14)*Inputs!$B$12+VLOOKUP("50m",Inputs!$A$29:$K$33,5,FALSE())*(Inputs!$B$25/14)*Inputs!$B$13)+Inputs!$B$18)+(1-C238)*((INDEX(Inputs!$A$37:$C$37,1,1)*(Inputs!$B$25/14)*Inputs!$B$5+INDEX(Inputs!$A$37:$C$37,1,2)*(Inputs!$B$25/14)*Inputs!$B$12+INDEX(Inputs!$A$37:$C$37,1,3)*(Inputs!$B$25/14)*Inputs!$B$13)))</f>
        <v>333.501235750018</v>
      </c>
      <c r="E238" s="25" t="n">
        <f aca="false">0</f>
        <v>0</v>
      </c>
      <c r="F23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39" customFormat="false" ht="15" hidden="false" customHeight="true" outlineLevel="0" collapsed="false">
      <c r="A239" s="23" t="n">
        <v>7</v>
      </c>
      <c r="B239" s="24" t="b">
        <f aca="false">A239&lt;=Inputs!$B$17</f>
        <v>0</v>
      </c>
      <c r="C239" s="25" t="n">
        <f aca="false">IF(A239=2,C238*(1-Inputs!$B$22),C238)</f>
        <v>0.276</v>
      </c>
      <c r="D239" s="26" t="n">
        <f aca="false">IF(B239,C239*(VLOOKUP("50m",Inputs!$A$29:$K$33,3,FALSE())*(Inputs!$B$25/14)*Inputs!$B$5+VLOOKUP("50m",Inputs!$A$29:$K$33,4,FALSE())*(Inputs!$B$25/14)*Inputs!$B$12+VLOOKUP("50m",Inputs!$A$29:$K$33,5,FALSE())*(Inputs!$B$25/14)*Inputs!$B$13)+(1-C239)*(VLOOKUP("50m",Inputs!$A$29:$K$33,6,FALSE())*(Inputs!$B$25/14)*Inputs!$B$5+VLOOKUP("50m",Inputs!$A$29:$K$33,7,FALSE())*(Inputs!$B$25/14)*Inputs!$B$12+VLOOKUP("50m",Inputs!$A$29:$K$33,8,FALSE())*(Inputs!$B$25/14)*Inputs!$B$13),C239*((VLOOKUP("50m",Inputs!$A$29:$K$33,3,FALSE())*(Inputs!$B$25/14)*Inputs!$B$5+VLOOKUP("50m",Inputs!$A$29:$K$33,4,FALSE())*(Inputs!$B$25/14)*Inputs!$B$12+VLOOKUP("50m",Inputs!$A$29:$K$33,5,FALSE())*(Inputs!$B$25/14)*Inputs!$B$13)+Inputs!$B$18)+(1-C239)*((INDEX(Inputs!$A$37:$C$37,1,1)*(Inputs!$B$25/14)*Inputs!$B$5+INDEX(Inputs!$A$37:$C$37,1,2)*(Inputs!$B$25/14)*Inputs!$B$12+INDEX(Inputs!$A$37:$C$37,1,3)*(Inputs!$B$25/14)*Inputs!$B$13)))</f>
        <v>333.501235750018</v>
      </c>
      <c r="E239" s="25" t="n">
        <f aca="false">0</f>
        <v>0</v>
      </c>
      <c r="F23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40" customFormat="false" ht="15" hidden="false" customHeight="true" outlineLevel="0" collapsed="false">
      <c r="A240" s="23" t="n">
        <v>8</v>
      </c>
      <c r="B240" s="24" t="b">
        <f aca="false">A240&lt;=Inputs!$B$17</f>
        <v>0</v>
      </c>
      <c r="C240" s="25" t="n">
        <f aca="false">IF(A240=2,C239*(1-Inputs!$B$22),C239)</f>
        <v>0.276</v>
      </c>
      <c r="D240" s="26" t="n">
        <f aca="false">IF(B240,C240*(VLOOKUP("50m",Inputs!$A$29:$K$33,3,FALSE())*(Inputs!$B$25/14)*Inputs!$B$5+VLOOKUP("50m",Inputs!$A$29:$K$33,4,FALSE())*(Inputs!$B$25/14)*Inputs!$B$12+VLOOKUP("50m",Inputs!$A$29:$K$33,5,FALSE())*(Inputs!$B$25/14)*Inputs!$B$13)+(1-C240)*(VLOOKUP("50m",Inputs!$A$29:$K$33,6,FALSE())*(Inputs!$B$25/14)*Inputs!$B$5+VLOOKUP("50m",Inputs!$A$29:$K$33,7,FALSE())*(Inputs!$B$25/14)*Inputs!$B$12+VLOOKUP("50m",Inputs!$A$29:$K$33,8,FALSE())*(Inputs!$B$25/14)*Inputs!$B$13),C240*((VLOOKUP("50m",Inputs!$A$29:$K$33,3,FALSE())*(Inputs!$B$25/14)*Inputs!$B$5+VLOOKUP("50m",Inputs!$A$29:$K$33,4,FALSE())*(Inputs!$B$25/14)*Inputs!$B$12+VLOOKUP("50m",Inputs!$A$29:$K$33,5,FALSE())*(Inputs!$B$25/14)*Inputs!$B$13)+Inputs!$B$18)+(1-C240)*((INDEX(Inputs!$A$37:$C$37,1,1)*(Inputs!$B$25/14)*Inputs!$B$5+INDEX(Inputs!$A$37:$C$37,1,2)*(Inputs!$B$25/14)*Inputs!$B$12+INDEX(Inputs!$A$37:$C$37,1,3)*(Inputs!$B$25/14)*Inputs!$B$13)))</f>
        <v>333.501235750018</v>
      </c>
      <c r="E240" s="25" t="n">
        <f aca="false">0</f>
        <v>0</v>
      </c>
      <c r="F24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41" customFormat="false" ht="15" hidden="false" customHeight="true" outlineLevel="0" collapsed="false">
      <c r="A241" s="23" t="n">
        <v>9</v>
      </c>
      <c r="B241" s="24" t="b">
        <f aca="false">A241&lt;=Inputs!$B$17</f>
        <v>0</v>
      </c>
      <c r="C241" s="25" t="n">
        <f aca="false">IF(A241=2,C240*(1-Inputs!$B$22),C240)</f>
        <v>0.276</v>
      </c>
      <c r="D241" s="26" t="n">
        <f aca="false">IF(B241,C241*(VLOOKUP("50m",Inputs!$A$29:$K$33,3,FALSE())*(Inputs!$B$25/14)*Inputs!$B$5+VLOOKUP("50m",Inputs!$A$29:$K$33,4,FALSE())*(Inputs!$B$25/14)*Inputs!$B$12+VLOOKUP("50m",Inputs!$A$29:$K$33,5,FALSE())*(Inputs!$B$25/14)*Inputs!$B$13)+(1-C241)*(VLOOKUP("50m",Inputs!$A$29:$K$33,6,FALSE())*(Inputs!$B$25/14)*Inputs!$B$5+VLOOKUP("50m",Inputs!$A$29:$K$33,7,FALSE())*(Inputs!$B$25/14)*Inputs!$B$12+VLOOKUP("50m",Inputs!$A$29:$K$33,8,FALSE())*(Inputs!$B$25/14)*Inputs!$B$13),C241*((VLOOKUP("50m",Inputs!$A$29:$K$33,3,FALSE())*(Inputs!$B$25/14)*Inputs!$B$5+VLOOKUP("50m",Inputs!$A$29:$K$33,4,FALSE())*(Inputs!$B$25/14)*Inputs!$B$12+VLOOKUP("50m",Inputs!$A$29:$K$33,5,FALSE())*(Inputs!$B$25/14)*Inputs!$B$13)+Inputs!$B$18)+(1-C241)*((INDEX(Inputs!$A$37:$C$37,1,1)*(Inputs!$B$25/14)*Inputs!$B$5+INDEX(Inputs!$A$37:$C$37,1,2)*(Inputs!$B$25/14)*Inputs!$B$12+INDEX(Inputs!$A$37:$C$37,1,3)*(Inputs!$B$25/14)*Inputs!$B$13)))</f>
        <v>333.501235750018</v>
      </c>
      <c r="E241" s="25" t="n">
        <f aca="false">0</f>
        <v>0</v>
      </c>
      <c r="F24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42" customFormat="false" ht="15" hidden="false" customHeight="true" outlineLevel="0" collapsed="false">
      <c r="A242" s="23" t="n">
        <v>10</v>
      </c>
      <c r="B242" s="24" t="b">
        <f aca="false">A242&lt;=Inputs!$B$17</f>
        <v>0</v>
      </c>
      <c r="C242" s="25" t="n">
        <f aca="false">IF(A242=2,C241*(1-Inputs!$B$22),C241)</f>
        <v>0.276</v>
      </c>
      <c r="D242" s="26" t="n">
        <f aca="false">IF(B242,C242*(VLOOKUP("50m",Inputs!$A$29:$K$33,3,FALSE())*(Inputs!$B$25/14)*Inputs!$B$5+VLOOKUP("50m",Inputs!$A$29:$K$33,4,FALSE())*(Inputs!$B$25/14)*Inputs!$B$12+VLOOKUP("50m",Inputs!$A$29:$K$33,5,FALSE())*(Inputs!$B$25/14)*Inputs!$B$13)+(1-C242)*(VLOOKUP("50m",Inputs!$A$29:$K$33,6,FALSE())*(Inputs!$B$25/14)*Inputs!$B$5+VLOOKUP("50m",Inputs!$A$29:$K$33,7,FALSE())*(Inputs!$B$25/14)*Inputs!$B$12+VLOOKUP("50m",Inputs!$A$29:$K$33,8,FALSE())*(Inputs!$B$25/14)*Inputs!$B$13),C242*((VLOOKUP("50m",Inputs!$A$29:$K$33,3,FALSE())*(Inputs!$B$25/14)*Inputs!$B$5+VLOOKUP("50m",Inputs!$A$29:$K$33,4,FALSE())*(Inputs!$B$25/14)*Inputs!$B$12+VLOOKUP("50m",Inputs!$A$29:$K$33,5,FALSE())*(Inputs!$B$25/14)*Inputs!$B$13)+Inputs!$B$18)+(1-C242)*((INDEX(Inputs!$A$37:$C$37,1,1)*(Inputs!$B$25/14)*Inputs!$B$5+INDEX(Inputs!$A$37:$C$37,1,2)*(Inputs!$B$25/14)*Inputs!$B$12+INDEX(Inputs!$A$37:$C$37,1,3)*(Inputs!$B$25/14)*Inputs!$B$13)))</f>
        <v>333.501235750018</v>
      </c>
      <c r="E242" s="25" t="n">
        <f aca="false">0</f>
        <v>0</v>
      </c>
      <c r="F24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43" customFormat="false" ht="15" hidden="false" customHeight="true" outlineLevel="0" collapsed="false">
      <c r="A243" s="23" t="n">
        <v>11</v>
      </c>
      <c r="B243" s="24" t="b">
        <f aca="false">A243&lt;=Inputs!$B$17</f>
        <v>0</v>
      </c>
      <c r="C243" s="25" t="n">
        <f aca="false">IF(A243=2,C242*(1-Inputs!$B$22),C242)</f>
        <v>0.276</v>
      </c>
      <c r="D243" s="26" t="n">
        <f aca="false">IF(B243,C243*(VLOOKUP("50m",Inputs!$A$29:$K$33,3,FALSE())*(Inputs!$B$25/14)*Inputs!$B$5+VLOOKUP("50m",Inputs!$A$29:$K$33,4,FALSE())*(Inputs!$B$25/14)*Inputs!$B$12+VLOOKUP("50m",Inputs!$A$29:$K$33,5,FALSE())*(Inputs!$B$25/14)*Inputs!$B$13)+(1-C243)*(VLOOKUP("50m",Inputs!$A$29:$K$33,6,FALSE())*(Inputs!$B$25/14)*Inputs!$B$5+VLOOKUP("50m",Inputs!$A$29:$K$33,7,FALSE())*(Inputs!$B$25/14)*Inputs!$B$12+VLOOKUP("50m",Inputs!$A$29:$K$33,8,FALSE())*(Inputs!$B$25/14)*Inputs!$B$13),C243*((VLOOKUP("50m",Inputs!$A$29:$K$33,3,FALSE())*(Inputs!$B$25/14)*Inputs!$B$5+VLOOKUP("50m",Inputs!$A$29:$K$33,4,FALSE())*(Inputs!$B$25/14)*Inputs!$B$12+VLOOKUP("50m",Inputs!$A$29:$K$33,5,FALSE())*(Inputs!$B$25/14)*Inputs!$B$13)+Inputs!$B$18)+(1-C243)*((INDEX(Inputs!$A$37:$C$37,1,1)*(Inputs!$B$25/14)*Inputs!$B$5+INDEX(Inputs!$A$37:$C$37,1,2)*(Inputs!$B$25/14)*Inputs!$B$12+INDEX(Inputs!$A$37:$C$37,1,3)*(Inputs!$B$25/14)*Inputs!$B$13)))</f>
        <v>333.501235750018</v>
      </c>
      <c r="E243" s="25" t="n">
        <f aca="false">0</f>
        <v>0</v>
      </c>
      <c r="F24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44" customFormat="false" ht="15" hidden="false" customHeight="true" outlineLevel="0" collapsed="false">
      <c r="A244" s="23" t="n">
        <v>12</v>
      </c>
      <c r="B244" s="24" t="b">
        <f aca="false">A244&lt;=Inputs!$B$17</f>
        <v>0</v>
      </c>
      <c r="C244" s="25" t="n">
        <f aca="false">IF(A244=2,C243*(1-Inputs!$B$22),C243)</f>
        <v>0.276</v>
      </c>
      <c r="D244" s="26" t="n">
        <f aca="false">IF(B244,C244*(VLOOKUP("50m",Inputs!$A$29:$K$33,3,FALSE())*(Inputs!$B$25/14)*Inputs!$B$5+VLOOKUP("50m",Inputs!$A$29:$K$33,4,FALSE())*(Inputs!$B$25/14)*Inputs!$B$12+VLOOKUP("50m",Inputs!$A$29:$K$33,5,FALSE())*(Inputs!$B$25/14)*Inputs!$B$13)+(1-C244)*(VLOOKUP("50m",Inputs!$A$29:$K$33,6,FALSE())*(Inputs!$B$25/14)*Inputs!$B$5+VLOOKUP("50m",Inputs!$A$29:$K$33,7,FALSE())*(Inputs!$B$25/14)*Inputs!$B$12+VLOOKUP("50m",Inputs!$A$29:$K$33,8,FALSE())*(Inputs!$B$25/14)*Inputs!$B$13),C244*((VLOOKUP("50m",Inputs!$A$29:$K$33,3,FALSE())*(Inputs!$B$25/14)*Inputs!$B$5+VLOOKUP("50m",Inputs!$A$29:$K$33,4,FALSE())*(Inputs!$B$25/14)*Inputs!$B$12+VLOOKUP("50m",Inputs!$A$29:$K$33,5,FALSE())*(Inputs!$B$25/14)*Inputs!$B$13)+Inputs!$B$18)+(1-C244)*((INDEX(Inputs!$A$37:$C$37,1,1)*(Inputs!$B$25/14)*Inputs!$B$5+INDEX(Inputs!$A$37:$C$37,1,2)*(Inputs!$B$25/14)*Inputs!$B$12+INDEX(Inputs!$A$37:$C$37,1,3)*(Inputs!$B$25/14)*Inputs!$B$13)))</f>
        <v>333.501235750018</v>
      </c>
      <c r="E244" s="25" t="n">
        <f aca="false">0</f>
        <v>0</v>
      </c>
      <c r="F24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45" customFormat="false" ht="15" hidden="false" customHeight="true" outlineLevel="0" collapsed="false">
      <c r="A245" s="27" t="s">
        <v>125</v>
      </c>
      <c r="D245" s="28" t="n">
        <f aca="false">SUM(D233:D244)</f>
        <v>3806.33460323502</v>
      </c>
      <c r="F245" s="28" t="n">
        <f aca="false">SUM(F233:F244)</f>
        <v>3915.63538541811</v>
      </c>
    </row>
    <row r="247" customFormat="false" ht="15" hidden="false" customHeight="true" outlineLevel="0" collapsed="false">
      <c r="A247" s="27" t="s">
        <v>162</v>
      </c>
    </row>
    <row r="248" customFormat="false" ht="21.75" hidden="false" customHeight="true" outlineLevel="0" collapsed="false">
      <c r="A248" s="43" t="s">
        <v>92</v>
      </c>
      <c r="B248" s="43" t="s">
        <v>145</v>
      </c>
      <c r="C248" s="43" t="s">
        <v>146</v>
      </c>
      <c r="D248" s="43" t="s">
        <v>147</v>
      </c>
      <c r="E248" s="43" t="s">
        <v>148</v>
      </c>
      <c r="F248" s="43" t="s">
        <v>149</v>
      </c>
    </row>
    <row r="249" customFormat="false" ht="15" hidden="false" customHeight="true" outlineLevel="0" collapsed="false">
      <c r="A249" s="23" t="n">
        <v>1</v>
      </c>
      <c r="B249" s="24" t="b">
        <f aca="false">A249&lt;=Inputs!$B$17</f>
        <v>1</v>
      </c>
      <c r="C249" s="25" t="n">
        <f aca="false">VLOOKUP("50m",Inputs!$A$29:$K$33,2,FALSE())</f>
        <v>0.4</v>
      </c>
      <c r="D249" s="26" t="n">
        <f aca="false">IF(B249,C249*(VLOOKUP("50m",Inputs!$A$29:$K$33,3,FALSE())*(Inputs!$B$25/14)*Inputs!$B$5+VLOOKUP("50m",Inputs!$A$29:$K$33,4,FALSE())*(Inputs!$B$25/14)*Inputs!$B$12+VLOOKUP("50m",Inputs!$A$29:$K$33,5,FALSE())*(Inputs!$B$25/14)*Inputs!$B$13)+(1-C249)*(VLOOKUP("50m",Inputs!$A$29:$K$33,6,FALSE())*(Inputs!$B$25/14)*Inputs!$B$5+VLOOKUP("50m",Inputs!$A$29:$K$33,7,FALSE())*(Inputs!$B$25/14)*Inputs!$B$12+VLOOKUP("50m",Inputs!$A$29:$K$33,8,FALSE())*(Inputs!$B$25/14)*Inputs!$B$13),C249*((VLOOKUP("50m",Inputs!$A$29:$K$33,3,FALSE())*(Inputs!$B$25/14)*Inputs!$B$5+VLOOKUP("50m",Inputs!$A$29:$K$33,4,FALSE())*(Inputs!$B$25/14)*Inputs!$B$12+VLOOKUP("50m",Inputs!$A$29:$K$33,5,FALSE())*(Inputs!$B$25/14)*Inputs!$B$13)+Inputs!$B$18)+(1-C249)*((VLOOKUP("50m",Inputs!$A$29:$K$33,9,FALSE())*(Inputs!$B$25/14)*Inputs!$B$5+VLOOKUP("50m",Inputs!$A$29:$K$33,10,FALSE())*(Inputs!$B$25/14)*Inputs!$B$12+VLOOKUP("50m",Inputs!$A$29:$K$33,11,FALSE())*(Inputs!$B$25/14)*Inputs!$B$13)))</f>
        <v>252.821009984821</v>
      </c>
      <c r="E249" s="25" t="n">
        <f aca="false">Inputs!$B$21</f>
        <v>0.083</v>
      </c>
      <c r="F249" s="26" t="n">
        <f aca="false">E249*(VLOOKUP("50m",Inputs!$A$29:$K$33,3,FALSE())*(Inputs!$B$25/14)*Inputs!$B$5+VLOOKUP("50m",Inputs!$A$29:$K$33,4,FALSE())*(Inputs!$B$25/14)*Inputs!$B$12+VLOOKUP("50m",Inputs!$A$29:$K$33,5,FALSE())*(Inputs!$B$25/14)*Inputs!$B$13)+(1-E249)*(INDEX(Inputs!$A$37:$C$37,1,1)*(Inputs!$B$25/14)*Inputs!$B$5+INDEX(Inputs!$A$37:$C$37,1,2)*(Inputs!$B$25/14)*Inputs!$B$12+INDEX(Inputs!$A$37:$C$37,1,3)*(Inputs!$B$25/14)*Inputs!$B$13)</f>
        <v>312.080135529719</v>
      </c>
    </row>
    <row r="250" customFormat="false" ht="15" hidden="false" customHeight="true" outlineLevel="0" collapsed="false">
      <c r="A250" s="23" t="n">
        <v>2</v>
      </c>
      <c r="B250" s="24" t="b">
        <f aca="false">A250&lt;=Inputs!$B$17</f>
        <v>1</v>
      </c>
      <c r="C250" s="25" t="n">
        <f aca="false">IF(A250=2,C249*(1-Inputs!$B$22),C249)</f>
        <v>0.276</v>
      </c>
      <c r="D250" s="26" t="n">
        <f aca="false">IF(B250,C250*(VLOOKUP("50m",Inputs!$A$29:$K$33,3,FALSE())*(Inputs!$B$25/14)*Inputs!$B$5+VLOOKUP("50m",Inputs!$A$29:$K$33,4,FALSE())*(Inputs!$B$25/14)*Inputs!$B$12+VLOOKUP("50m",Inputs!$A$29:$K$33,5,FALSE())*(Inputs!$B$25/14)*Inputs!$B$13)+(1-C250)*(VLOOKUP("50m",Inputs!$A$29:$K$33,6,FALSE())*(Inputs!$B$25/14)*Inputs!$B$5+VLOOKUP("50m",Inputs!$A$29:$K$33,7,FALSE())*(Inputs!$B$25/14)*Inputs!$B$12+VLOOKUP("50m",Inputs!$A$29:$K$33,8,FALSE())*(Inputs!$B$25/14)*Inputs!$B$13),C250*((VLOOKUP("50m",Inputs!$A$29:$K$33,3,FALSE())*(Inputs!$B$25/14)*Inputs!$B$5+VLOOKUP("50m",Inputs!$A$29:$K$33,4,FALSE())*(Inputs!$B$25/14)*Inputs!$B$12+VLOOKUP("50m",Inputs!$A$29:$K$33,5,FALSE())*(Inputs!$B$25/14)*Inputs!$B$13)+Inputs!$B$18)+(1-C250)*((VLOOKUP("50m",Inputs!$A$29:$K$33,9,FALSE())*(Inputs!$B$25/14)*Inputs!$B$5+VLOOKUP("50m",Inputs!$A$29:$K$33,10,FALSE())*(Inputs!$B$25/14)*Inputs!$B$12+VLOOKUP("50m",Inputs!$A$29:$K$33,11,FALSE())*(Inputs!$B$25/14)*Inputs!$B$13)))</f>
        <v>276.001235750018</v>
      </c>
      <c r="E250" s="25" t="n">
        <f aca="false">0</f>
        <v>0</v>
      </c>
      <c r="F25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1" customFormat="false" ht="15" hidden="false" customHeight="true" outlineLevel="0" collapsed="false">
      <c r="A251" s="23" t="n">
        <v>3</v>
      </c>
      <c r="B251" s="24" t="b">
        <f aca="false">A251&lt;=Inputs!$B$17</f>
        <v>1</v>
      </c>
      <c r="C251" s="25" t="n">
        <f aca="false">IF(A251=2,C250*(1-Inputs!$B$22),C250)</f>
        <v>0.276</v>
      </c>
      <c r="D251" s="26" t="n">
        <f aca="false">IF(B251,C251*(VLOOKUP("50m",Inputs!$A$29:$K$33,3,FALSE())*(Inputs!$B$25/14)*Inputs!$B$5+VLOOKUP("50m",Inputs!$A$29:$K$33,4,FALSE())*(Inputs!$B$25/14)*Inputs!$B$12+VLOOKUP("50m",Inputs!$A$29:$K$33,5,FALSE())*(Inputs!$B$25/14)*Inputs!$B$13)+(1-C251)*(VLOOKUP("50m",Inputs!$A$29:$K$33,6,FALSE())*(Inputs!$B$25/14)*Inputs!$B$5+VLOOKUP("50m",Inputs!$A$29:$K$33,7,FALSE())*(Inputs!$B$25/14)*Inputs!$B$12+VLOOKUP("50m",Inputs!$A$29:$K$33,8,FALSE())*(Inputs!$B$25/14)*Inputs!$B$13),C251*((VLOOKUP("50m",Inputs!$A$29:$K$33,3,FALSE())*(Inputs!$B$25/14)*Inputs!$B$5+VLOOKUP("50m",Inputs!$A$29:$K$33,4,FALSE())*(Inputs!$B$25/14)*Inputs!$B$12+VLOOKUP("50m",Inputs!$A$29:$K$33,5,FALSE())*(Inputs!$B$25/14)*Inputs!$B$13)+Inputs!$B$18)+(1-C251)*((VLOOKUP("50m",Inputs!$A$29:$K$33,9,FALSE())*(Inputs!$B$25/14)*Inputs!$B$5+VLOOKUP("50m",Inputs!$A$29:$K$33,10,FALSE())*(Inputs!$B$25/14)*Inputs!$B$12+VLOOKUP("50m",Inputs!$A$29:$K$33,11,FALSE())*(Inputs!$B$25/14)*Inputs!$B$13)))</f>
        <v>276.001235750018</v>
      </c>
      <c r="E251" s="25" t="n">
        <f aca="false">0</f>
        <v>0</v>
      </c>
      <c r="F25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2" customFormat="false" ht="15" hidden="false" customHeight="true" outlineLevel="0" collapsed="false">
      <c r="A252" s="23" t="n">
        <v>4</v>
      </c>
      <c r="B252" s="24" t="b">
        <f aca="false">A252&lt;=Inputs!$B$17</f>
        <v>0</v>
      </c>
      <c r="C252" s="25" t="n">
        <f aca="false">IF(A252=2,C251*(1-Inputs!$B$22),C251)</f>
        <v>0.276</v>
      </c>
      <c r="D252" s="26" t="n">
        <f aca="false">IF(B252,C252*(VLOOKUP("50m",Inputs!$A$29:$K$33,3,FALSE())*(Inputs!$B$25/14)*Inputs!$B$5+VLOOKUP("50m",Inputs!$A$29:$K$33,4,FALSE())*(Inputs!$B$25/14)*Inputs!$B$12+VLOOKUP("50m",Inputs!$A$29:$K$33,5,FALSE())*(Inputs!$B$25/14)*Inputs!$B$13)+(1-C252)*(VLOOKUP("50m",Inputs!$A$29:$K$33,6,FALSE())*(Inputs!$B$25/14)*Inputs!$B$5+VLOOKUP("50m",Inputs!$A$29:$K$33,7,FALSE())*(Inputs!$B$25/14)*Inputs!$B$12+VLOOKUP("50m",Inputs!$A$29:$K$33,8,FALSE())*(Inputs!$B$25/14)*Inputs!$B$13),C252*((VLOOKUP("50m",Inputs!$A$29:$K$33,3,FALSE())*(Inputs!$B$25/14)*Inputs!$B$5+VLOOKUP("50m",Inputs!$A$29:$K$33,4,FALSE())*(Inputs!$B$25/14)*Inputs!$B$12+VLOOKUP("50m",Inputs!$A$29:$K$33,5,FALSE())*(Inputs!$B$25/14)*Inputs!$B$13)+Inputs!$B$18)+(1-C252)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2" s="25" t="n">
        <f aca="false">0</f>
        <v>0</v>
      </c>
      <c r="F25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3" customFormat="false" ht="15" hidden="false" customHeight="true" outlineLevel="0" collapsed="false">
      <c r="A253" s="23" t="n">
        <v>5</v>
      </c>
      <c r="B253" s="24" t="b">
        <f aca="false">A253&lt;=Inputs!$B$17</f>
        <v>0</v>
      </c>
      <c r="C253" s="25" t="n">
        <f aca="false">IF(A253=2,C252*(1-Inputs!$B$22),C252)</f>
        <v>0.276</v>
      </c>
      <c r="D253" s="26" t="n">
        <f aca="false">IF(B253,C253*(VLOOKUP("50m",Inputs!$A$29:$K$33,3,FALSE())*(Inputs!$B$25/14)*Inputs!$B$5+VLOOKUP("50m",Inputs!$A$29:$K$33,4,FALSE())*(Inputs!$B$25/14)*Inputs!$B$12+VLOOKUP("50m",Inputs!$A$29:$K$33,5,FALSE())*(Inputs!$B$25/14)*Inputs!$B$13)+(1-C253)*(VLOOKUP("50m",Inputs!$A$29:$K$33,6,FALSE())*(Inputs!$B$25/14)*Inputs!$B$5+VLOOKUP("50m",Inputs!$A$29:$K$33,7,FALSE())*(Inputs!$B$25/14)*Inputs!$B$12+VLOOKUP("50m",Inputs!$A$29:$K$33,8,FALSE())*(Inputs!$B$25/14)*Inputs!$B$13),C253*((VLOOKUP("50m",Inputs!$A$29:$K$33,3,FALSE())*(Inputs!$B$25/14)*Inputs!$B$5+VLOOKUP("50m",Inputs!$A$29:$K$33,4,FALSE())*(Inputs!$B$25/14)*Inputs!$B$12+VLOOKUP("50m",Inputs!$A$29:$K$33,5,FALSE())*(Inputs!$B$25/14)*Inputs!$B$13)+Inputs!$B$18)+(1-C253)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3" s="25" t="n">
        <f aca="false">0</f>
        <v>0</v>
      </c>
      <c r="F25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4" customFormat="false" ht="15" hidden="false" customHeight="true" outlineLevel="0" collapsed="false">
      <c r="A254" s="23" t="n">
        <v>6</v>
      </c>
      <c r="B254" s="24" t="b">
        <f aca="false">A254&lt;=Inputs!$B$17</f>
        <v>0</v>
      </c>
      <c r="C254" s="25" t="n">
        <f aca="false">IF(A254=2,C253*(1-Inputs!$B$22),C253)</f>
        <v>0.276</v>
      </c>
      <c r="D254" s="26" t="n">
        <f aca="false">IF(B254,C254*(VLOOKUP("50m",Inputs!$A$29:$K$33,3,FALSE())*(Inputs!$B$25/14)*Inputs!$B$5+VLOOKUP("50m",Inputs!$A$29:$K$33,4,FALSE())*(Inputs!$B$25/14)*Inputs!$B$12+VLOOKUP("50m",Inputs!$A$29:$K$33,5,FALSE())*(Inputs!$B$25/14)*Inputs!$B$13)+(1-C254)*(VLOOKUP("50m",Inputs!$A$29:$K$33,6,FALSE())*(Inputs!$B$25/14)*Inputs!$B$5+VLOOKUP("50m",Inputs!$A$29:$K$33,7,FALSE())*(Inputs!$B$25/14)*Inputs!$B$12+VLOOKUP("50m",Inputs!$A$29:$K$33,8,FALSE())*(Inputs!$B$25/14)*Inputs!$B$13),C254*((VLOOKUP("50m",Inputs!$A$29:$K$33,3,FALSE())*(Inputs!$B$25/14)*Inputs!$B$5+VLOOKUP("50m",Inputs!$A$29:$K$33,4,FALSE())*(Inputs!$B$25/14)*Inputs!$B$12+VLOOKUP("50m",Inputs!$A$29:$K$33,5,FALSE())*(Inputs!$B$25/14)*Inputs!$B$13)+Inputs!$B$18)+(1-C254)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4" s="25" t="n">
        <f aca="false">0</f>
        <v>0</v>
      </c>
      <c r="F25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5" customFormat="false" ht="15" hidden="false" customHeight="true" outlineLevel="0" collapsed="false">
      <c r="A255" s="23" t="n">
        <v>7</v>
      </c>
      <c r="B255" s="24" t="b">
        <f aca="false">A255&lt;=Inputs!$B$17</f>
        <v>0</v>
      </c>
      <c r="C255" s="25" t="n">
        <f aca="false">IF(A255=2,C254*(1-Inputs!$B$22),C254)</f>
        <v>0.276</v>
      </c>
      <c r="D255" s="26" t="n">
        <f aca="false">IF(B255,C255*(VLOOKUP("50m",Inputs!$A$29:$K$33,3,FALSE())*(Inputs!$B$25/14)*Inputs!$B$5+VLOOKUP("50m",Inputs!$A$29:$K$33,4,FALSE())*(Inputs!$B$25/14)*Inputs!$B$12+VLOOKUP("50m",Inputs!$A$29:$K$33,5,FALSE())*(Inputs!$B$25/14)*Inputs!$B$13)+(1-C255)*(VLOOKUP("50m",Inputs!$A$29:$K$33,6,FALSE())*(Inputs!$B$25/14)*Inputs!$B$5+VLOOKUP("50m",Inputs!$A$29:$K$33,7,FALSE())*(Inputs!$B$25/14)*Inputs!$B$12+VLOOKUP("50m",Inputs!$A$29:$K$33,8,FALSE())*(Inputs!$B$25/14)*Inputs!$B$13),C255*((VLOOKUP("50m",Inputs!$A$29:$K$33,3,FALSE())*(Inputs!$B$25/14)*Inputs!$B$5+VLOOKUP("50m",Inputs!$A$29:$K$33,4,FALSE())*(Inputs!$B$25/14)*Inputs!$B$12+VLOOKUP("50m",Inputs!$A$29:$K$33,5,FALSE())*(Inputs!$B$25/14)*Inputs!$B$13)+Inputs!$B$18)+(1-C255)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5" s="25" t="n">
        <f aca="false">0</f>
        <v>0</v>
      </c>
      <c r="F25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6" customFormat="false" ht="15" hidden="false" customHeight="true" outlineLevel="0" collapsed="false">
      <c r="A256" s="23" t="n">
        <v>8</v>
      </c>
      <c r="B256" s="24" t="b">
        <f aca="false">A256&lt;=Inputs!$B$17</f>
        <v>0</v>
      </c>
      <c r="C256" s="25" t="n">
        <f aca="false">IF(A256=2,C255*(1-Inputs!$B$22),C255)</f>
        <v>0.276</v>
      </c>
      <c r="D256" s="26" t="n">
        <f aca="false">IF(B256,C256*(VLOOKUP("50m",Inputs!$A$29:$K$33,3,FALSE())*(Inputs!$B$25/14)*Inputs!$B$5+VLOOKUP("50m",Inputs!$A$29:$K$33,4,FALSE())*(Inputs!$B$25/14)*Inputs!$B$12+VLOOKUP("50m",Inputs!$A$29:$K$33,5,FALSE())*(Inputs!$B$25/14)*Inputs!$B$13)+(1-C256)*(VLOOKUP("50m",Inputs!$A$29:$K$33,6,FALSE())*(Inputs!$B$25/14)*Inputs!$B$5+VLOOKUP("50m",Inputs!$A$29:$K$33,7,FALSE())*(Inputs!$B$25/14)*Inputs!$B$12+VLOOKUP("50m",Inputs!$A$29:$K$33,8,FALSE())*(Inputs!$B$25/14)*Inputs!$B$13),C256*((VLOOKUP("50m",Inputs!$A$29:$K$33,3,FALSE())*(Inputs!$B$25/14)*Inputs!$B$5+VLOOKUP("50m",Inputs!$A$29:$K$33,4,FALSE())*(Inputs!$B$25/14)*Inputs!$B$12+VLOOKUP("50m",Inputs!$A$29:$K$33,5,FALSE())*(Inputs!$B$25/14)*Inputs!$B$13)+Inputs!$B$18)+(1-C256)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6" s="25" t="n">
        <f aca="false">0</f>
        <v>0</v>
      </c>
      <c r="F25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7" customFormat="false" ht="15" hidden="false" customHeight="true" outlineLevel="0" collapsed="false">
      <c r="A257" s="23" t="n">
        <v>9</v>
      </c>
      <c r="B257" s="24" t="b">
        <f aca="false">A257&lt;=Inputs!$B$17</f>
        <v>0</v>
      </c>
      <c r="C257" s="25" t="n">
        <f aca="false">IF(A257=2,C256*(1-Inputs!$B$22),C256)</f>
        <v>0.276</v>
      </c>
      <c r="D257" s="26" t="n">
        <f aca="false">IF(B257,C257*(VLOOKUP("50m",Inputs!$A$29:$K$33,3,FALSE())*(Inputs!$B$25/14)*Inputs!$B$5+VLOOKUP("50m",Inputs!$A$29:$K$33,4,FALSE())*(Inputs!$B$25/14)*Inputs!$B$12+VLOOKUP("50m",Inputs!$A$29:$K$33,5,FALSE())*(Inputs!$B$25/14)*Inputs!$B$13)+(1-C257)*(VLOOKUP("50m",Inputs!$A$29:$K$33,6,FALSE())*(Inputs!$B$25/14)*Inputs!$B$5+VLOOKUP("50m",Inputs!$A$29:$K$33,7,FALSE())*(Inputs!$B$25/14)*Inputs!$B$12+VLOOKUP("50m",Inputs!$A$29:$K$33,8,FALSE())*(Inputs!$B$25/14)*Inputs!$B$13),C257*((VLOOKUP("50m",Inputs!$A$29:$K$33,3,FALSE())*(Inputs!$B$25/14)*Inputs!$B$5+VLOOKUP("50m",Inputs!$A$29:$K$33,4,FALSE())*(Inputs!$B$25/14)*Inputs!$B$12+VLOOKUP("50m",Inputs!$A$29:$K$33,5,FALSE())*(Inputs!$B$25/14)*Inputs!$B$13)+Inputs!$B$18)+(1-C257)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7" s="25" t="n">
        <f aca="false">0</f>
        <v>0</v>
      </c>
      <c r="F25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8" customFormat="false" ht="15" hidden="false" customHeight="true" outlineLevel="0" collapsed="false">
      <c r="A258" s="23" t="n">
        <v>10</v>
      </c>
      <c r="B258" s="24" t="b">
        <f aca="false">A258&lt;=Inputs!$B$17</f>
        <v>0</v>
      </c>
      <c r="C258" s="25" t="n">
        <f aca="false">IF(A258=2,C257*(1-Inputs!$B$22),C257)</f>
        <v>0.276</v>
      </c>
      <c r="D258" s="26" t="n">
        <f aca="false">IF(B258,C258*(VLOOKUP("50m",Inputs!$A$29:$K$33,3,FALSE())*(Inputs!$B$25/14)*Inputs!$B$5+VLOOKUP("50m",Inputs!$A$29:$K$33,4,FALSE())*(Inputs!$B$25/14)*Inputs!$B$12+VLOOKUP("50m",Inputs!$A$29:$K$33,5,FALSE())*(Inputs!$B$25/14)*Inputs!$B$13)+(1-C258)*(VLOOKUP("50m",Inputs!$A$29:$K$33,6,FALSE())*(Inputs!$B$25/14)*Inputs!$B$5+VLOOKUP("50m",Inputs!$A$29:$K$33,7,FALSE())*(Inputs!$B$25/14)*Inputs!$B$12+VLOOKUP("50m",Inputs!$A$29:$K$33,8,FALSE())*(Inputs!$B$25/14)*Inputs!$B$13),C258*((VLOOKUP("50m",Inputs!$A$29:$K$33,3,FALSE())*(Inputs!$B$25/14)*Inputs!$B$5+VLOOKUP("50m",Inputs!$A$29:$K$33,4,FALSE())*(Inputs!$B$25/14)*Inputs!$B$12+VLOOKUP("50m",Inputs!$A$29:$K$33,5,FALSE())*(Inputs!$B$25/14)*Inputs!$B$13)+Inputs!$B$18)+(1-C258)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8" s="25" t="n">
        <f aca="false">0</f>
        <v>0</v>
      </c>
      <c r="F25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59" customFormat="false" ht="15" hidden="false" customHeight="true" outlineLevel="0" collapsed="false">
      <c r="A259" s="23" t="n">
        <v>11</v>
      </c>
      <c r="B259" s="24" t="b">
        <f aca="false">A259&lt;=Inputs!$B$17</f>
        <v>0</v>
      </c>
      <c r="C259" s="25" t="n">
        <f aca="false">IF(A259=2,C258*(1-Inputs!$B$22),C258)</f>
        <v>0.276</v>
      </c>
      <c r="D259" s="26" t="n">
        <f aca="false">IF(B259,C259*(VLOOKUP("50m",Inputs!$A$29:$K$33,3,FALSE())*(Inputs!$B$25/14)*Inputs!$B$5+VLOOKUP("50m",Inputs!$A$29:$K$33,4,FALSE())*(Inputs!$B$25/14)*Inputs!$B$12+VLOOKUP("50m",Inputs!$A$29:$K$33,5,FALSE())*(Inputs!$B$25/14)*Inputs!$B$13)+(1-C259)*(VLOOKUP("50m",Inputs!$A$29:$K$33,6,FALSE())*(Inputs!$B$25/14)*Inputs!$B$5+VLOOKUP("50m",Inputs!$A$29:$K$33,7,FALSE())*(Inputs!$B$25/14)*Inputs!$B$12+VLOOKUP("50m",Inputs!$A$29:$K$33,8,FALSE())*(Inputs!$B$25/14)*Inputs!$B$13),C259*((VLOOKUP("50m",Inputs!$A$29:$K$33,3,FALSE())*(Inputs!$B$25/14)*Inputs!$B$5+VLOOKUP("50m",Inputs!$A$29:$K$33,4,FALSE())*(Inputs!$B$25/14)*Inputs!$B$12+VLOOKUP("50m",Inputs!$A$29:$K$33,5,FALSE())*(Inputs!$B$25/14)*Inputs!$B$13)+Inputs!$B$18)+(1-C259)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59" s="25" t="n">
        <f aca="false">0</f>
        <v>0</v>
      </c>
      <c r="F25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60" customFormat="false" ht="15" hidden="false" customHeight="true" outlineLevel="0" collapsed="false">
      <c r="A260" s="23" t="n">
        <v>12</v>
      </c>
      <c r="B260" s="24" t="b">
        <f aca="false">A260&lt;=Inputs!$B$17</f>
        <v>0</v>
      </c>
      <c r="C260" s="25" t="n">
        <f aca="false">IF(A260=2,C259*(1-Inputs!$B$22),C259)</f>
        <v>0.276</v>
      </c>
      <c r="D260" s="26" t="n">
        <f aca="false">IF(B260,C260*(VLOOKUP("50m",Inputs!$A$29:$K$33,3,FALSE())*(Inputs!$B$25/14)*Inputs!$B$5+VLOOKUP("50m",Inputs!$A$29:$K$33,4,FALSE())*(Inputs!$B$25/14)*Inputs!$B$12+VLOOKUP("50m",Inputs!$A$29:$K$33,5,FALSE())*(Inputs!$B$25/14)*Inputs!$B$13)+(1-C260)*(VLOOKUP("50m",Inputs!$A$29:$K$33,6,FALSE())*(Inputs!$B$25/14)*Inputs!$B$5+VLOOKUP("50m",Inputs!$A$29:$K$33,7,FALSE())*(Inputs!$B$25/14)*Inputs!$B$12+VLOOKUP("50m",Inputs!$A$29:$K$33,8,FALSE())*(Inputs!$B$25/14)*Inputs!$B$13),C260*((VLOOKUP("50m",Inputs!$A$29:$K$33,3,FALSE())*(Inputs!$B$25/14)*Inputs!$B$5+VLOOKUP("50m",Inputs!$A$29:$K$33,4,FALSE())*(Inputs!$B$25/14)*Inputs!$B$12+VLOOKUP("50m",Inputs!$A$29:$K$33,5,FALSE())*(Inputs!$B$25/14)*Inputs!$B$13)+Inputs!$B$18)+(1-C260)*((VLOOKUP("50m",Inputs!$A$29:$K$33,9,FALSE())*(Inputs!$B$25/14)*Inputs!$B$5+VLOOKUP("50m",Inputs!$A$29:$K$33,10,FALSE())*(Inputs!$B$25/14)*Inputs!$B$12+VLOOKUP("50m",Inputs!$A$29:$K$33,11,FALSE())*(Inputs!$B$25/14)*Inputs!$B$13)))</f>
        <v>333.501235750018</v>
      </c>
      <c r="E260" s="25" t="n">
        <f aca="false">0</f>
        <v>0</v>
      </c>
      <c r="F26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61" customFormat="false" ht="15" hidden="false" customHeight="true" outlineLevel="0" collapsed="false">
      <c r="A261" s="27" t="s">
        <v>125</v>
      </c>
      <c r="D261" s="28" t="n">
        <f aca="false">SUM(D249:D260)</f>
        <v>3806.33460323502</v>
      </c>
      <c r="F261" s="28" t="n">
        <f aca="false">SUM(F249:F260)</f>
        <v>3915.63538541811</v>
      </c>
    </row>
    <row r="263" customFormat="false" ht="15" hidden="false" customHeight="true" outlineLevel="0" collapsed="false">
      <c r="A263" s="27" t="s">
        <v>163</v>
      </c>
    </row>
    <row r="264" customFormat="false" ht="21.75" hidden="false" customHeight="true" outlineLevel="0" collapsed="false">
      <c r="A264" s="43" t="s">
        <v>92</v>
      </c>
      <c r="B264" s="43" t="s">
        <v>145</v>
      </c>
      <c r="C264" s="43" t="s">
        <v>146</v>
      </c>
      <c r="D264" s="43" t="s">
        <v>147</v>
      </c>
      <c r="E264" s="43" t="s">
        <v>148</v>
      </c>
      <c r="F264" s="43" t="s">
        <v>149</v>
      </c>
    </row>
    <row r="265" customFormat="false" ht="15" hidden="false" customHeight="true" outlineLevel="0" collapsed="false">
      <c r="A265" s="23" t="n">
        <v>1</v>
      </c>
      <c r="B265" s="24" t="b">
        <f aca="false">A265&lt;=Inputs!$B$17</f>
        <v>1</v>
      </c>
      <c r="C265" s="25" t="n">
        <f aca="false">VLOOKUP("50m",Inputs!$A$29:$K$33,2,FALSE())</f>
        <v>0.4</v>
      </c>
      <c r="D265" s="26" t="n">
        <f aca="false">IF(B265,C265*(VLOOKUP("50m",Inputs!$A$29:$K$33,3,FALSE())*(Inputs!$B$25/14)*Inputs!$B$5+VLOOKUP("50m",Inputs!$A$29:$K$33,4,FALSE())*(Inputs!$B$25/14)*Inputs!$B$12+VLOOKUP("50m",Inputs!$A$29:$K$33,5,FALSE())*(Inputs!$B$25/14)*Inputs!$B$13)+(1-C265)*(VLOOKUP("50m",Inputs!$A$29:$K$33,6,FALSE())*(Inputs!$B$25/14)*Inputs!$B$5+VLOOKUP("50m",Inputs!$A$29:$K$33,7,FALSE())*(Inputs!$B$25/14)*Inputs!$B$12+VLOOKUP("50m",Inputs!$A$29:$K$33,8,FALSE())*(Inputs!$B$25/14)*Inputs!$B$13),C265*((VLOOKUP("50m",Inputs!$A$29:$K$33,3,FALSE())*(Inputs!$B$25/14)*Inputs!$B$5+VLOOKUP("50m",Inputs!$A$29:$K$33,4,FALSE())*(Inputs!$B$25/14)*Inputs!$B$12+VLOOKUP("50m",Inputs!$A$29:$K$33,5,FALSE())*(Inputs!$B$25/14)*Inputs!$B$13)+Inputs!$B$18)+(1-C265)*((INDEX(Inputs!$A$37:$C$37,1,1)*(Inputs!$B$25/14)*Inputs!$B$5+INDEX(Inputs!$A$37:$C$37,1,2)*(Inputs!$B$25/14)*Inputs!$B$12+INDEX(Inputs!$A$37:$C$37,1,3)*(Inputs!$B$25/14)*Inputs!$B$13)))</f>
        <v>252.821009984821</v>
      </c>
      <c r="E265" s="25" t="n">
        <f aca="false">Inputs!$B$21</f>
        <v>0.083</v>
      </c>
      <c r="F265" s="26" t="n">
        <f aca="false">E265*(VLOOKUP("50m",Inputs!$A$29:$K$33,3,FALSE())*(Inputs!$B$25/14)*Inputs!$B$5+VLOOKUP("50m",Inputs!$A$29:$K$33,4,FALSE())*(Inputs!$B$25/14)*Inputs!$B$12+VLOOKUP("50m",Inputs!$A$29:$K$33,5,FALSE())*(Inputs!$B$25/14)*Inputs!$B$13)+(1-E265)*(INDEX(Inputs!$A$37:$C$37,1,1)*(Inputs!$B$25/14)*Inputs!$B$5+INDEX(Inputs!$A$37:$C$37,1,2)*(Inputs!$B$25/14)*Inputs!$B$12+INDEX(Inputs!$A$37:$C$37,1,3)*(Inputs!$B$25/14)*Inputs!$B$13)</f>
        <v>312.080135529719</v>
      </c>
    </row>
    <row r="266" customFormat="false" ht="15" hidden="false" customHeight="true" outlineLevel="0" collapsed="false">
      <c r="A266" s="23" t="n">
        <v>2</v>
      </c>
      <c r="B266" s="24" t="b">
        <f aca="false">A266&lt;=Inputs!$B$17</f>
        <v>1</v>
      </c>
      <c r="C266" s="25" t="n">
        <f aca="false">C265*(1-Inputs!$B$22)</f>
        <v>0.276</v>
      </c>
      <c r="D266" s="26" t="n">
        <f aca="false">IF(B266,C266*(VLOOKUP("50m",Inputs!$A$29:$K$33,3,FALSE())*(Inputs!$B$25/14)*Inputs!$B$5+VLOOKUP("50m",Inputs!$A$29:$K$33,4,FALSE())*(Inputs!$B$25/14)*Inputs!$B$12+VLOOKUP("50m",Inputs!$A$29:$K$33,5,FALSE())*(Inputs!$B$25/14)*Inputs!$B$13)+(1-C266)*(VLOOKUP("50m",Inputs!$A$29:$K$33,6,FALSE())*(Inputs!$B$25/14)*Inputs!$B$5+VLOOKUP("50m",Inputs!$A$29:$K$33,7,FALSE())*(Inputs!$B$25/14)*Inputs!$B$12+VLOOKUP("50m",Inputs!$A$29:$K$33,8,FALSE())*(Inputs!$B$25/14)*Inputs!$B$13),C266*((VLOOKUP("50m",Inputs!$A$29:$K$33,3,FALSE())*(Inputs!$B$25/14)*Inputs!$B$5+VLOOKUP("50m",Inputs!$A$29:$K$33,4,FALSE())*(Inputs!$B$25/14)*Inputs!$B$12+VLOOKUP("50m",Inputs!$A$29:$K$33,5,FALSE())*(Inputs!$B$25/14)*Inputs!$B$13)+Inputs!$B$18)+(1-C266)*((INDEX(Inputs!$A$37:$C$37,1,1)*(Inputs!$B$25/14)*Inputs!$B$5+INDEX(Inputs!$A$37:$C$37,1,2)*(Inputs!$B$25/14)*Inputs!$B$12+INDEX(Inputs!$A$37:$C$37,1,3)*(Inputs!$B$25/14)*Inputs!$B$13)))</f>
        <v>276.001235750018</v>
      </c>
      <c r="E266" s="25" t="n">
        <f aca="false">0</f>
        <v>0</v>
      </c>
      <c r="F26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67" customFormat="false" ht="15" hidden="false" customHeight="true" outlineLevel="0" collapsed="false">
      <c r="A267" s="23" t="n">
        <v>3</v>
      </c>
      <c r="B267" s="24" t="b">
        <f aca="false">A267&lt;=Inputs!$B$17</f>
        <v>1</v>
      </c>
      <c r="C267" s="25" t="n">
        <f aca="false">C266*(1-Inputs!$B$22)</f>
        <v>0.19044</v>
      </c>
      <c r="D267" s="26" t="n">
        <f aca="false">IF(B267,C267*(VLOOKUP("50m",Inputs!$A$29:$K$33,3,FALSE())*(Inputs!$B$25/14)*Inputs!$B$5+VLOOKUP("50m",Inputs!$A$29:$K$33,4,FALSE())*(Inputs!$B$25/14)*Inputs!$B$12+VLOOKUP("50m",Inputs!$A$29:$K$33,5,FALSE())*(Inputs!$B$25/14)*Inputs!$B$13)+(1-C267)*(VLOOKUP("50m",Inputs!$A$29:$K$33,6,FALSE())*(Inputs!$B$25/14)*Inputs!$B$5+VLOOKUP("50m",Inputs!$A$29:$K$33,7,FALSE())*(Inputs!$B$25/14)*Inputs!$B$12+VLOOKUP("50m",Inputs!$A$29:$K$33,8,FALSE())*(Inputs!$B$25/14)*Inputs!$B$13),C267*((VLOOKUP("50m",Inputs!$A$29:$K$33,3,FALSE())*(Inputs!$B$25/14)*Inputs!$B$5+VLOOKUP("50m",Inputs!$A$29:$K$33,4,FALSE())*(Inputs!$B$25/14)*Inputs!$B$12+VLOOKUP("50m",Inputs!$A$29:$K$33,5,FALSE())*(Inputs!$B$25/14)*Inputs!$B$13)+Inputs!$B$18)+(1-C267)*((INDEX(Inputs!$A$37:$C$37,1,1)*(Inputs!$B$25/14)*Inputs!$B$5+INDEX(Inputs!$A$37:$C$37,1,2)*(Inputs!$B$25/14)*Inputs!$B$12+INDEX(Inputs!$A$37:$C$37,1,3)*(Inputs!$B$25/14)*Inputs!$B$13)))</f>
        <v>291.995591528003</v>
      </c>
      <c r="E267" s="25" t="n">
        <f aca="false">0</f>
        <v>0</v>
      </c>
      <c r="F26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68" customFormat="false" ht="15" hidden="false" customHeight="true" outlineLevel="0" collapsed="false">
      <c r="A268" s="23" t="n">
        <v>4</v>
      </c>
      <c r="B268" s="24" t="b">
        <f aca="false">A268&lt;=Inputs!$B$17</f>
        <v>0</v>
      </c>
      <c r="C268" s="25" t="n">
        <f aca="false">C267*(1-Inputs!$B$22)</f>
        <v>0.1314036</v>
      </c>
      <c r="D268" s="26" t="n">
        <f aca="false">IF(B268,C268*(VLOOKUP("50m",Inputs!$A$29:$K$33,3,FALSE())*(Inputs!$B$25/14)*Inputs!$B$5+VLOOKUP("50m",Inputs!$A$29:$K$33,4,FALSE())*(Inputs!$B$25/14)*Inputs!$B$12+VLOOKUP("50m",Inputs!$A$29:$K$33,5,FALSE())*(Inputs!$B$25/14)*Inputs!$B$13)+(1-C268)*(VLOOKUP("50m",Inputs!$A$29:$K$33,6,FALSE())*(Inputs!$B$25/14)*Inputs!$B$5+VLOOKUP("50m",Inputs!$A$29:$K$33,7,FALSE())*(Inputs!$B$25/14)*Inputs!$B$12+VLOOKUP("50m",Inputs!$A$29:$K$33,8,FALSE())*(Inputs!$B$25/14)*Inputs!$B$13),C268*((VLOOKUP("50m",Inputs!$A$29:$K$33,3,FALSE())*(Inputs!$B$25/14)*Inputs!$B$5+VLOOKUP("50m",Inputs!$A$29:$K$33,4,FALSE())*(Inputs!$B$25/14)*Inputs!$B$12+VLOOKUP("50m",Inputs!$A$29:$K$33,5,FALSE())*(Inputs!$B$25/14)*Inputs!$B$13)+Inputs!$B$18)+(1-C268)*((INDEX(Inputs!$A$37:$C$37,1,1)*(Inputs!$B$25/14)*Inputs!$B$5+INDEX(Inputs!$A$37:$C$37,1,2)*(Inputs!$B$25/14)*Inputs!$B$12+INDEX(Inputs!$A$37:$C$37,1,3)*(Inputs!$B$25/14)*Inputs!$B$13)))</f>
        <v>330.407447014813</v>
      </c>
      <c r="E268" s="25" t="n">
        <f aca="false">0</f>
        <v>0</v>
      </c>
      <c r="F26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69" customFormat="false" ht="15" hidden="false" customHeight="true" outlineLevel="0" collapsed="false">
      <c r="A269" s="23" t="n">
        <v>5</v>
      </c>
      <c r="B269" s="24" t="b">
        <f aca="false">A269&lt;=Inputs!$B$17</f>
        <v>0</v>
      </c>
      <c r="C269" s="25" t="n">
        <f aca="false">C268*(1-Inputs!$B$22)</f>
        <v>0.090668484</v>
      </c>
      <c r="D269" s="26" t="n">
        <f aca="false">IF(B269,C269*(VLOOKUP("50m",Inputs!$A$29:$K$33,3,FALSE())*(Inputs!$B$25/14)*Inputs!$B$5+VLOOKUP("50m",Inputs!$A$29:$K$33,4,FALSE())*(Inputs!$B$25/14)*Inputs!$B$12+VLOOKUP("50m",Inputs!$A$29:$K$33,5,FALSE())*(Inputs!$B$25/14)*Inputs!$B$13)+(1-C269)*(VLOOKUP("50m",Inputs!$A$29:$K$33,6,FALSE())*(Inputs!$B$25/14)*Inputs!$B$5+VLOOKUP("50m",Inputs!$A$29:$K$33,7,FALSE())*(Inputs!$B$25/14)*Inputs!$B$12+VLOOKUP("50m",Inputs!$A$29:$K$33,8,FALSE())*(Inputs!$B$25/14)*Inputs!$B$13),C269*((VLOOKUP("50m",Inputs!$A$29:$K$33,3,FALSE())*(Inputs!$B$25/14)*Inputs!$B$5+VLOOKUP("50m",Inputs!$A$29:$K$33,4,FALSE())*(Inputs!$B$25/14)*Inputs!$B$12+VLOOKUP("50m",Inputs!$A$29:$K$33,5,FALSE())*(Inputs!$B$25/14)*Inputs!$B$13)+Inputs!$B$18)+(1-C269)*((INDEX(Inputs!$A$37:$C$37,1,1)*(Inputs!$B$25/14)*Inputs!$B$5+INDEX(Inputs!$A$37:$C$37,1,2)*(Inputs!$B$25/14)*Inputs!$B$12+INDEX(Inputs!$A$37:$C$37,1,3)*(Inputs!$B$25/14)*Inputs!$B$13)))</f>
        <v>329.535877300712</v>
      </c>
      <c r="E269" s="25" t="n">
        <f aca="false">0</f>
        <v>0</v>
      </c>
      <c r="F26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0" customFormat="false" ht="15" hidden="false" customHeight="true" outlineLevel="0" collapsed="false">
      <c r="A270" s="23" t="n">
        <v>6</v>
      </c>
      <c r="B270" s="24" t="b">
        <f aca="false">A270&lt;=Inputs!$B$17</f>
        <v>0</v>
      </c>
      <c r="C270" s="25" t="n">
        <f aca="false">C269*(1-Inputs!$B$22)</f>
        <v>0.06256125396</v>
      </c>
      <c r="D270" s="26" t="n">
        <f aca="false">IF(B270,C270*(VLOOKUP("50m",Inputs!$A$29:$K$33,3,FALSE())*(Inputs!$B$25/14)*Inputs!$B$5+VLOOKUP("50m",Inputs!$A$29:$K$33,4,FALSE())*(Inputs!$B$25/14)*Inputs!$B$12+VLOOKUP("50m",Inputs!$A$29:$K$33,5,FALSE())*(Inputs!$B$25/14)*Inputs!$B$13)+(1-C270)*(VLOOKUP("50m",Inputs!$A$29:$K$33,6,FALSE())*(Inputs!$B$25/14)*Inputs!$B$5+VLOOKUP("50m",Inputs!$A$29:$K$33,7,FALSE())*(Inputs!$B$25/14)*Inputs!$B$12+VLOOKUP("50m",Inputs!$A$29:$K$33,8,FALSE())*(Inputs!$B$25/14)*Inputs!$B$13),C270*((VLOOKUP("50m",Inputs!$A$29:$K$33,3,FALSE())*(Inputs!$B$25/14)*Inputs!$B$5+VLOOKUP("50m",Inputs!$A$29:$K$33,4,FALSE())*(Inputs!$B$25/14)*Inputs!$B$12+VLOOKUP("50m",Inputs!$A$29:$K$33,5,FALSE())*(Inputs!$B$25/14)*Inputs!$B$13)+Inputs!$B$18)+(1-C270)*((INDEX(Inputs!$A$37:$C$37,1,1)*(Inputs!$B$25/14)*Inputs!$B$5+INDEX(Inputs!$A$37:$C$37,1,2)*(Inputs!$B$25/14)*Inputs!$B$12+INDEX(Inputs!$A$37:$C$37,1,3)*(Inputs!$B$25/14)*Inputs!$B$13)))</f>
        <v>328.934494197983</v>
      </c>
      <c r="E270" s="25" t="n">
        <f aca="false">0</f>
        <v>0</v>
      </c>
      <c r="F27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1" customFormat="false" ht="15" hidden="false" customHeight="true" outlineLevel="0" collapsed="false">
      <c r="A271" s="23" t="n">
        <v>7</v>
      </c>
      <c r="B271" s="24" t="b">
        <f aca="false">A271&lt;=Inputs!$B$17</f>
        <v>0</v>
      </c>
      <c r="C271" s="25" t="n">
        <f aca="false">C270*(1-Inputs!$B$22)</f>
        <v>0.0431672652324</v>
      </c>
      <c r="D271" s="26" t="n">
        <f aca="false">IF(B271,C271*(VLOOKUP("50m",Inputs!$A$29:$K$33,3,FALSE())*(Inputs!$B$25/14)*Inputs!$B$5+VLOOKUP("50m",Inputs!$A$29:$K$33,4,FALSE())*(Inputs!$B$25/14)*Inputs!$B$12+VLOOKUP("50m",Inputs!$A$29:$K$33,5,FALSE())*(Inputs!$B$25/14)*Inputs!$B$13)+(1-C271)*(VLOOKUP("50m",Inputs!$A$29:$K$33,6,FALSE())*(Inputs!$B$25/14)*Inputs!$B$5+VLOOKUP("50m",Inputs!$A$29:$K$33,7,FALSE())*(Inputs!$B$25/14)*Inputs!$B$12+VLOOKUP("50m",Inputs!$A$29:$K$33,8,FALSE())*(Inputs!$B$25/14)*Inputs!$B$13),C271*((VLOOKUP("50m",Inputs!$A$29:$K$33,3,FALSE())*(Inputs!$B$25/14)*Inputs!$B$5+VLOOKUP("50m",Inputs!$A$29:$K$33,4,FALSE())*(Inputs!$B$25/14)*Inputs!$B$12+VLOOKUP("50m",Inputs!$A$29:$K$33,5,FALSE())*(Inputs!$B$25/14)*Inputs!$B$13)+Inputs!$B$18)+(1-C271)*((INDEX(Inputs!$A$37:$C$37,1,1)*(Inputs!$B$25/14)*Inputs!$B$5+INDEX(Inputs!$A$37:$C$37,1,2)*(Inputs!$B$25/14)*Inputs!$B$12+INDEX(Inputs!$A$37:$C$37,1,3)*(Inputs!$B$25/14)*Inputs!$B$13)))</f>
        <v>328.519539857099</v>
      </c>
      <c r="E271" s="25" t="n">
        <f aca="false">0</f>
        <v>0</v>
      </c>
      <c r="F27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2" customFormat="false" ht="15" hidden="false" customHeight="true" outlineLevel="0" collapsed="false">
      <c r="A272" s="23" t="n">
        <v>8</v>
      </c>
      <c r="B272" s="24" t="b">
        <f aca="false">A272&lt;=Inputs!$B$17</f>
        <v>0</v>
      </c>
      <c r="C272" s="25" t="n">
        <f aca="false">C271*(1-Inputs!$B$22)</f>
        <v>0.029785413010356</v>
      </c>
      <c r="D272" s="26" t="n">
        <f aca="false">IF(B272,C272*(VLOOKUP("50m",Inputs!$A$29:$K$33,3,FALSE())*(Inputs!$B$25/14)*Inputs!$B$5+VLOOKUP("50m",Inputs!$A$29:$K$33,4,FALSE())*(Inputs!$B$25/14)*Inputs!$B$12+VLOOKUP("50m",Inputs!$A$29:$K$33,5,FALSE())*(Inputs!$B$25/14)*Inputs!$B$13)+(1-C272)*(VLOOKUP("50m",Inputs!$A$29:$K$33,6,FALSE())*(Inputs!$B$25/14)*Inputs!$B$5+VLOOKUP("50m",Inputs!$A$29:$K$33,7,FALSE())*(Inputs!$B$25/14)*Inputs!$B$12+VLOOKUP("50m",Inputs!$A$29:$K$33,8,FALSE())*(Inputs!$B$25/14)*Inputs!$B$13),C272*((VLOOKUP("50m",Inputs!$A$29:$K$33,3,FALSE())*(Inputs!$B$25/14)*Inputs!$B$5+VLOOKUP("50m",Inputs!$A$29:$K$33,4,FALSE())*(Inputs!$B$25/14)*Inputs!$B$12+VLOOKUP("50m",Inputs!$A$29:$K$33,5,FALSE())*(Inputs!$B$25/14)*Inputs!$B$13)+Inputs!$B$18)+(1-C272)*((INDEX(Inputs!$A$37:$C$37,1,1)*(Inputs!$B$25/14)*Inputs!$B$5+INDEX(Inputs!$A$37:$C$37,1,2)*(Inputs!$B$25/14)*Inputs!$B$12+INDEX(Inputs!$A$37:$C$37,1,3)*(Inputs!$B$25/14)*Inputs!$B$13)))</f>
        <v>328.233221361889</v>
      </c>
      <c r="E272" s="25" t="n">
        <f aca="false">0</f>
        <v>0</v>
      </c>
      <c r="F27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3" customFormat="false" ht="15" hidden="false" customHeight="true" outlineLevel="0" collapsed="false">
      <c r="A273" s="23" t="n">
        <v>9</v>
      </c>
      <c r="B273" s="24" t="b">
        <f aca="false">A273&lt;=Inputs!$B$17</f>
        <v>0</v>
      </c>
      <c r="C273" s="25" t="n">
        <f aca="false">C272*(1-Inputs!$B$22)</f>
        <v>0.0205519349771456</v>
      </c>
      <c r="D273" s="26" t="n">
        <f aca="false">IF(B273,C273*(VLOOKUP("50m",Inputs!$A$29:$K$33,3,FALSE())*(Inputs!$B$25/14)*Inputs!$B$5+VLOOKUP("50m",Inputs!$A$29:$K$33,4,FALSE())*(Inputs!$B$25/14)*Inputs!$B$12+VLOOKUP("50m",Inputs!$A$29:$K$33,5,FALSE())*(Inputs!$B$25/14)*Inputs!$B$13)+(1-C273)*(VLOOKUP("50m",Inputs!$A$29:$K$33,6,FALSE())*(Inputs!$B$25/14)*Inputs!$B$5+VLOOKUP("50m",Inputs!$A$29:$K$33,7,FALSE())*(Inputs!$B$25/14)*Inputs!$B$12+VLOOKUP("50m",Inputs!$A$29:$K$33,8,FALSE())*(Inputs!$B$25/14)*Inputs!$B$13),C273*((VLOOKUP("50m",Inputs!$A$29:$K$33,3,FALSE())*(Inputs!$B$25/14)*Inputs!$B$5+VLOOKUP("50m",Inputs!$A$29:$K$33,4,FALSE())*(Inputs!$B$25/14)*Inputs!$B$12+VLOOKUP("50m",Inputs!$A$29:$K$33,5,FALSE())*(Inputs!$B$25/14)*Inputs!$B$13)+Inputs!$B$18)+(1-C273)*((INDEX(Inputs!$A$37:$C$37,1,1)*(Inputs!$B$25/14)*Inputs!$B$5+INDEX(Inputs!$A$37:$C$37,1,2)*(Inputs!$B$25/14)*Inputs!$B$12+INDEX(Inputs!$A$37:$C$37,1,3)*(Inputs!$B$25/14)*Inputs!$B$13)))</f>
        <v>328.035661600195</v>
      </c>
      <c r="E273" s="25" t="n">
        <f aca="false">0</f>
        <v>0</v>
      </c>
      <c r="F27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4" customFormat="false" ht="15" hidden="false" customHeight="true" outlineLevel="0" collapsed="false">
      <c r="A274" s="23" t="n">
        <v>10</v>
      </c>
      <c r="B274" s="24" t="b">
        <f aca="false">A274&lt;=Inputs!$B$17</f>
        <v>0</v>
      </c>
      <c r="C274" s="25" t="n">
        <f aca="false">C273*(1-Inputs!$B$22)</f>
        <v>0.0141808351342305</v>
      </c>
      <c r="D274" s="26" t="n">
        <f aca="false">IF(B274,C274*(VLOOKUP("50m",Inputs!$A$29:$K$33,3,FALSE())*(Inputs!$B$25/14)*Inputs!$B$5+VLOOKUP("50m",Inputs!$A$29:$K$33,4,FALSE())*(Inputs!$B$25/14)*Inputs!$B$12+VLOOKUP("50m",Inputs!$A$29:$K$33,5,FALSE())*(Inputs!$B$25/14)*Inputs!$B$13)+(1-C274)*(VLOOKUP("50m",Inputs!$A$29:$K$33,6,FALSE())*(Inputs!$B$25/14)*Inputs!$B$5+VLOOKUP("50m",Inputs!$A$29:$K$33,7,FALSE())*(Inputs!$B$25/14)*Inputs!$B$12+VLOOKUP("50m",Inputs!$A$29:$K$33,8,FALSE())*(Inputs!$B$25/14)*Inputs!$B$13),C274*((VLOOKUP("50m",Inputs!$A$29:$K$33,3,FALSE())*(Inputs!$B$25/14)*Inputs!$B$5+VLOOKUP("50m",Inputs!$A$29:$K$33,4,FALSE())*(Inputs!$B$25/14)*Inputs!$B$12+VLOOKUP("50m",Inputs!$A$29:$K$33,5,FALSE())*(Inputs!$B$25/14)*Inputs!$B$13)+Inputs!$B$18)+(1-C274)*((INDEX(Inputs!$A$37:$C$37,1,1)*(Inputs!$B$25/14)*Inputs!$B$5+INDEX(Inputs!$A$37:$C$37,1,2)*(Inputs!$B$25/14)*Inputs!$B$12+INDEX(Inputs!$A$37:$C$37,1,3)*(Inputs!$B$25/14)*Inputs!$B$13)))</f>
        <v>327.899345364625</v>
      </c>
      <c r="E274" s="25" t="n">
        <f aca="false">0</f>
        <v>0</v>
      </c>
      <c r="F27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5" customFormat="false" ht="15" hidden="false" customHeight="true" outlineLevel="0" collapsed="false">
      <c r="A275" s="23" t="n">
        <v>11</v>
      </c>
      <c r="B275" s="24" t="b">
        <f aca="false">A275&lt;=Inputs!$B$17</f>
        <v>0</v>
      </c>
      <c r="C275" s="25" t="n">
        <f aca="false">C274*(1-Inputs!$B$22)</f>
        <v>0.00978477624261903</v>
      </c>
      <c r="D275" s="26" t="n">
        <f aca="false">IF(B275,C275*(VLOOKUP("50m",Inputs!$A$29:$K$33,3,FALSE())*(Inputs!$B$25/14)*Inputs!$B$5+VLOOKUP("50m",Inputs!$A$29:$K$33,4,FALSE())*(Inputs!$B$25/14)*Inputs!$B$12+VLOOKUP("50m",Inputs!$A$29:$K$33,5,FALSE())*(Inputs!$B$25/14)*Inputs!$B$13)+(1-C275)*(VLOOKUP("50m",Inputs!$A$29:$K$33,6,FALSE())*(Inputs!$B$25/14)*Inputs!$B$5+VLOOKUP("50m",Inputs!$A$29:$K$33,7,FALSE())*(Inputs!$B$25/14)*Inputs!$B$12+VLOOKUP("50m",Inputs!$A$29:$K$33,8,FALSE())*(Inputs!$B$25/14)*Inputs!$B$13),C275*((VLOOKUP("50m",Inputs!$A$29:$K$33,3,FALSE())*(Inputs!$B$25/14)*Inputs!$B$5+VLOOKUP("50m",Inputs!$A$29:$K$33,4,FALSE())*(Inputs!$B$25/14)*Inputs!$B$12+VLOOKUP("50m",Inputs!$A$29:$K$33,5,FALSE())*(Inputs!$B$25/14)*Inputs!$B$13)+Inputs!$B$18)+(1-C275)*((INDEX(Inputs!$A$37:$C$37,1,1)*(Inputs!$B$25/14)*Inputs!$B$5+INDEX(Inputs!$A$37:$C$37,1,2)*(Inputs!$B$25/14)*Inputs!$B$12+INDEX(Inputs!$A$37:$C$37,1,3)*(Inputs!$B$25/14)*Inputs!$B$13)))</f>
        <v>327.805287162083</v>
      </c>
      <c r="E275" s="25" t="n">
        <f aca="false">0</f>
        <v>0</v>
      </c>
      <c r="F27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6" customFormat="false" ht="15" hidden="false" customHeight="true" outlineLevel="0" collapsed="false">
      <c r="A276" s="23" t="n">
        <v>12</v>
      </c>
      <c r="B276" s="24" t="b">
        <f aca="false">A276&lt;=Inputs!$B$17</f>
        <v>0</v>
      </c>
      <c r="C276" s="25" t="n">
        <f aca="false">C275*(1-Inputs!$B$22)</f>
        <v>0.00675149560740713</v>
      </c>
      <c r="D276" s="26" t="n">
        <f aca="false">IF(B276,C276*(VLOOKUP("50m",Inputs!$A$29:$K$33,3,FALSE())*(Inputs!$B$25/14)*Inputs!$B$5+VLOOKUP("50m",Inputs!$A$29:$K$33,4,FALSE())*(Inputs!$B$25/14)*Inputs!$B$12+VLOOKUP("50m",Inputs!$A$29:$K$33,5,FALSE())*(Inputs!$B$25/14)*Inputs!$B$13)+(1-C276)*(VLOOKUP("50m",Inputs!$A$29:$K$33,6,FALSE())*(Inputs!$B$25/14)*Inputs!$B$5+VLOOKUP("50m",Inputs!$A$29:$K$33,7,FALSE())*(Inputs!$B$25/14)*Inputs!$B$12+VLOOKUP("50m",Inputs!$A$29:$K$33,8,FALSE())*(Inputs!$B$25/14)*Inputs!$B$13),C276*((VLOOKUP("50m",Inputs!$A$29:$K$33,3,FALSE())*(Inputs!$B$25/14)*Inputs!$B$5+VLOOKUP("50m",Inputs!$A$29:$K$33,4,FALSE())*(Inputs!$B$25/14)*Inputs!$B$12+VLOOKUP("50m",Inputs!$A$29:$K$33,5,FALSE())*(Inputs!$B$25/14)*Inputs!$B$13)+Inputs!$B$18)+(1-C276)*((INDEX(Inputs!$A$37:$C$37,1,1)*(Inputs!$B$25/14)*Inputs!$B$5+INDEX(Inputs!$A$37:$C$37,1,2)*(Inputs!$B$25/14)*Inputs!$B$12+INDEX(Inputs!$A$37:$C$37,1,3)*(Inputs!$B$25/14)*Inputs!$B$13)))</f>
        <v>327.740387002328</v>
      </c>
      <c r="E276" s="25" t="n">
        <f aca="false">0</f>
        <v>0</v>
      </c>
      <c r="F27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77" customFormat="false" ht="15" hidden="false" customHeight="true" outlineLevel="0" collapsed="false">
      <c r="A277" s="27" t="s">
        <v>125</v>
      </c>
      <c r="D277" s="28" t="n">
        <f aca="false">SUM(D265:D276)</f>
        <v>3777.92909812457</v>
      </c>
      <c r="F277" s="28" t="n">
        <f aca="false">SUM(F265:F276)</f>
        <v>3915.63538541811</v>
      </c>
    </row>
    <row r="279" customFormat="false" ht="15" hidden="false" customHeight="true" outlineLevel="0" collapsed="false">
      <c r="A279" s="27" t="s">
        <v>164</v>
      </c>
    </row>
    <row r="280" customFormat="false" ht="21.75" hidden="false" customHeight="true" outlineLevel="0" collapsed="false">
      <c r="A280" s="43" t="s">
        <v>92</v>
      </c>
      <c r="B280" s="43" t="s">
        <v>145</v>
      </c>
      <c r="C280" s="43" t="s">
        <v>146</v>
      </c>
      <c r="D280" s="43" t="s">
        <v>147</v>
      </c>
      <c r="E280" s="43" t="s">
        <v>148</v>
      </c>
      <c r="F280" s="43" t="s">
        <v>149</v>
      </c>
    </row>
    <row r="281" customFormat="false" ht="15" hidden="false" customHeight="true" outlineLevel="0" collapsed="false">
      <c r="A281" s="23" t="n">
        <v>1</v>
      </c>
      <c r="B281" s="24" t="b">
        <f aca="false">A281&lt;=Inputs!$B$17</f>
        <v>1</v>
      </c>
      <c r="C281" s="25" t="n">
        <f aca="false">VLOOKUP("50m",Inputs!$A$29:$K$33,2,FALSE())</f>
        <v>0.4</v>
      </c>
      <c r="D281" s="26" t="n">
        <f aca="false">IF(B281,C281*(VLOOKUP("50m",Inputs!$A$29:$K$33,3,FALSE())*(Inputs!$B$25/14)*Inputs!$B$5+VLOOKUP("50m",Inputs!$A$29:$K$33,4,FALSE())*(Inputs!$B$25/14)*Inputs!$B$12+VLOOKUP("50m",Inputs!$A$29:$K$33,5,FALSE())*(Inputs!$B$25/14)*Inputs!$B$13)+(1-C281)*(VLOOKUP("50m",Inputs!$A$29:$K$33,6,FALSE())*(Inputs!$B$25/14)*Inputs!$B$5+VLOOKUP("50m",Inputs!$A$29:$K$33,7,FALSE())*(Inputs!$B$25/14)*Inputs!$B$12+VLOOKUP("50m",Inputs!$A$29:$K$33,8,FALSE())*(Inputs!$B$25/14)*Inputs!$B$13),C281*((VLOOKUP("50m",Inputs!$A$29:$K$33,3,FALSE())*(Inputs!$B$25/14)*Inputs!$B$5+VLOOKUP("50m",Inputs!$A$29:$K$33,4,FALSE())*(Inputs!$B$25/14)*Inputs!$B$12+VLOOKUP("50m",Inputs!$A$29:$K$33,5,FALSE())*(Inputs!$B$25/14)*Inputs!$B$13)+Inputs!$B$18)+(1-C281)*((VLOOKUP("50m",Inputs!$A$29:$K$33,9,FALSE())*(Inputs!$B$25/14)*Inputs!$B$5+VLOOKUP("50m",Inputs!$A$29:$K$33,10,FALSE())*(Inputs!$B$25/14)*Inputs!$B$12+VLOOKUP("50m",Inputs!$A$29:$K$33,11,FALSE())*(Inputs!$B$25/14)*Inputs!$B$13)))</f>
        <v>252.821009984821</v>
      </c>
      <c r="E281" s="25" t="n">
        <f aca="false">Inputs!$B$21</f>
        <v>0.083</v>
      </c>
      <c r="F281" s="26" t="n">
        <f aca="false">E281*(VLOOKUP("50m",Inputs!$A$29:$K$33,3,FALSE())*(Inputs!$B$25/14)*Inputs!$B$5+VLOOKUP("50m",Inputs!$A$29:$K$33,4,FALSE())*(Inputs!$B$25/14)*Inputs!$B$12+VLOOKUP("50m",Inputs!$A$29:$K$33,5,FALSE())*(Inputs!$B$25/14)*Inputs!$B$13)+(1-E281)*(INDEX(Inputs!$A$37:$C$37,1,1)*(Inputs!$B$25/14)*Inputs!$B$5+INDEX(Inputs!$A$37:$C$37,1,2)*(Inputs!$B$25/14)*Inputs!$B$12+INDEX(Inputs!$A$37:$C$37,1,3)*(Inputs!$B$25/14)*Inputs!$B$13)</f>
        <v>312.080135529719</v>
      </c>
    </row>
    <row r="282" customFormat="false" ht="15" hidden="false" customHeight="true" outlineLevel="0" collapsed="false">
      <c r="A282" s="23" t="n">
        <v>2</v>
      </c>
      <c r="B282" s="24" t="b">
        <f aca="false">A282&lt;=Inputs!$B$17</f>
        <v>1</v>
      </c>
      <c r="C282" s="25" t="n">
        <f aca="false">C281*(1-Inputs!$B$22)</f>
        <v>0.276</v>
      </c>
      <c r="D282" s="26" t="n">
        <f aca="false">IF(B282,C282*(VLOOKUP("50m",Inputs!$A$29:$K$33,3,FALSE())*(Inputs!$B$25/14)*Inputs!$B$5+VLOOKUP("50m",Inputs!$A$29:$K$33,4,FALSE())*(Inputs!$B$25/14)*Inputs!$B$12+VLOOKUP("50m",Inputs!$A$29:$K$33,5,FALSE())*(Inputs!$B$25/14)*Inputs!$B$13)+(1-C282)*(VLOOKUP("50m",Inputs!$A$29:$K$33,6,FALSE())*(Inputs!$B$25/14)*Inputs!$B$5+VLOOKUP("50m",Inputs!$A$29:$K$33,7,FALSE())*(Inputs!$B$25/14)*Inputs!$B$12+VLOOKUP("50m",Inputs!$A$29:$K$33,8,FALSE())*(Inputs!$B$25/14)*Inputs!$B$13),C282*((VLOOKUP("50m",Inputs!$A$29:$K$33,3,FALSE())*(Inputs!$B$25/14)*Inputs!$B$5+VLOOKUP("50m",Inputs!$A$29:$K$33,4,FALSE())*(Inputs!$B$25/14)*Inputs!$B$12+VLOOKUP("50m",Inputs!$A$29:$K$33,5,FALSE())*(Inputs!$B$25/14)*Inputs!$B$13)+Inputs!$B$18)+(1-C282)*((VLOOKUP("50m",Inputs!$A$29:$K$33,9,FALSE())*(Inputs!$B$25/14)*Inputs!$B$5+VLOOKUP("50m",Inputs!$A$29:$K$33,10,FALSE())*(Inputs!$B$25/14)*Inputs!$B$12+VLOOKUP("50m",Inputs!$A$29:$K$33,11,FALSE())*(Inputs!$B$25/14)*Inputs!$B$13)))</f>
        <v>276.001235750018</v>
      </c>
      <c r="E282" s="25" t="n">
        <f aca="false">0</f>
        <v>0</v>
      </c>
      <c r="F28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3" customFormat="false" ht="15" hidden="false" customHeight="true" outlineLevel="0" collapsed="false">
      <c r="A283" s="23" t="n">
        <v>3</v>
      </c>
      <c r="B283" s="24" t="b">
        <f aca="false">A283&lt;=Inputs!$B$17</f>
        <v>1</v>
      </c>
      <c r="C283" s="25" t="n">
        <f aca="false">C282*(1-Inputs!$B$22)</f>
        <v>0.19044</v>
      </c>
      <c r="D283" s="26" t="n">
        <f aca="false">IF(B283,C283*(VLOOKUP("50m",Inputs!$A$29:$K$33,3,FALSE())*(Inputs!$B$25/14)*Inputs!$B$5+VLOOKUP("50m",Inputs!$A$29:$K$33,4,FALSE())*(Inputs!$B$25/14)*Inputs!$B$12+VLOOKUP("50m",Inputs!$A$29:$K$33,5,FALSE())*(Inputs!$B$25/14)*Inputs!$B$13)+(1-C283)*(VLOOKUP("50m",Inputs!$A$29:$K$33,6,FALSE())*(Inputs!$B$25/14)*Inputs!$B$5+VLOOKUP("50m",Inputs!$A$29:$K$33,7,FALSE())*(Inputs!$B$25/14)*Inputs!$B$12+VLOOKUP("50m",Inputs!$A$29:$K$33,8,FALSE())*(Inputs!$B$25/14)*Inputs!$B$13),C283*((VLOOKUP("50m",Inputs!$A$29:$K$33,3,FALSE())*(Inputs!$B$25/14)*Inputs!$B$5+VLOOKUP("50m",Inputs!$A$29:$K$33,4,FALSE())*(Inputs!$B$25/14)*Inputs!$B$12+VLOOKUP("50m",Inputs!$A$29:$K$33,5,FALSE())*(Inputs!$B$25/14)*Inputs!$B$13)+Inputs!$B$18)+(1-C283)*((VLOOKUP("50m",Inputs!$A$29:$K$33,9,FALSE())*(Inputs!$B$25/14)*Inputs!$B$5+VLOOKUP("50m",Inputs!$A$29:$K$33,10,FALSE())*(Inputs!$B$25/14)*Inputs!$B$12+VLOOKUP("50m",Inputs!$A$29:$K$33,11,FALSE())*(Inputs!$B$25/14)*Inputs!$B$13)))</f>
        <v>291.995591528003</v>
      </c>
      <c r="E283" s="25" t="n">
        <f aca="false">0</f>
        <v>0</v>
      </c>
      <c r="F28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4" customFormat="false" ht="15" hidden="false" customHeight="true" outlineLevel="0" collapsed="false">
      <c r="A284" s="23" t="n">
        <v>4</v>
      </c>
      <c r="B284" s="24" t="b">
        <f aca="false">A284&lt;=Inputs!$B$17</f>
        <v>0</v>
      </c>
      <c r="C284" s="25" t="n">
        <f aca="false">C283*(1-Inputs!$B$22)</f>
        <v>0.1314036</v>
      </c>
      <c r="D284" s="26" t="n">
        <f aca="false">IF(B284,C284*(VLOOKUP("50m",Inputs!$A$29:$K$33,3,FALSE())*(Inputs!$B$25/14)*Inputs!$B$5+VLOOKUP("50m",Inputs!$A$29:$K$33,4,FALSE())*(Inputs!$B$25/14)*Inputs!$B$12+VLOOKUP("50m",Inputs!$A$29:$K$33,5,FALSE())*(Inputs!$B$25/14)*Inputs!$B$13)+(1-C284)*(VLOOKUP("50m",Inputs!$A$29:$K$33,6,FALSE())*(Inputs!$B$25/14)*Inputs!$B$5+VLOOKUP("50m",Inputs!$A$29:$K$33,7,FALSE())*(Inputs!$B$25/14)*Inputs!$B$12+VLOOKUP("50m",Inputs!$A$29:$K$33,8,FALSE())*(Inputs!$B$25/14)*Inputs!$B$13),C284*((VLOOKUP("50m",Inputs!$A$29:$K$33,3,FALSE())*(Inputs!$B$25/14)*Inputs!$B$5+VLOOKUP("50m",Inputs!$A$29:$K$33,4,FALSE())*(Inputs!$B$25/14)*Inputs!$B$12+VLOOKUP("50m",Inputs!$A$29:$K$33,5,FALSE())*(Inputs!$B$25/14)*Inputs!$B$13)+Inputs!$B$18)+(1-C284)*((VLOOKUP("50m",Inputs!$A$29:$K$33,9,FALSE())*(Inputs!$B$25/14)*Inputs!$B$5+VLOOKUP("50m",Inputs!$A$29:$K$33,10,FALSE())*(Inputs!$B$25/14)*Inputs!$B$12+VLOOKUP("50m",Inputs!$A$29:$K$33,11,FALSE())*(Inputs!$B$25/14)*Inputs!$B$13)))</f>
        <v>330.407447014813</v>
      </c>
      <c r="E284" s="25" t="n">
        <f aca="false">0</f>
        <v>0</v>
      </c>
      <c r="F28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5" customFormat="false" ht="15" hidden="false" customHeight="true" outlineLevel="0" collapsed="false">
      <c r="A285" s="23" t="n">
        <v>5</v>
      </c>
      <c r="B285" s="24" t="b">
        <f aca="false">A285&lt;=Inputs!$B$17</f>
        <v>0</v>
      </c>
      <c r="C285" s="25" t="n">
        <f aca="false">C284*(1-Inputs!$B$22)</f>
        <v>0.090668484</v>
      </c>
      <c r="D285" s="26" t="n">
        <f aca="false">IF(B285,C285*(VLOOKUP("50m",Inputs!$A$29:$K$33,3,FALSE())*(Inputs!$B$25/14)*Inputs!$B$5+VLOOKUP("50m",Inputs!$A$29:$K$33,4,FALSE())*(Inputs!$B$25/14)*Inputs!$B$12+VLOOKUP("50m",Inputs!$A$29:$K$33,5,FALSE())*(Inputs!$B$25/14)*Inputs!$B$13)+(1-C285)*(VLOOKUP("50m",Inputs!$A$29:$K$33,6,FALSE())*(Inputs!$B$25/14)*Inputs!$B$5+VLOOKUP("50m",Inputs!$A$29:$K$33,7,FALSE())*(Inputs!$B$25/14)*Inputs!$B$12+VLOOKUP("50m",Inputs!$A$29:$K$33,8,FALSE())*(Inputs!$B$25/14)*Inputs!$B$13),C285*((VLOOKUP("50m",Inputs!$A$29:$K$33,3,FALSE())*(Inputs!$B$25/14)*Inputs!$B$5+VLOOKUP("50m",Inputs!$A$29:$K$33,4,FALSE())*(Inputs!$B$25/14)*Inputs!$B$12+VLOOKUP("50m",Inputs!$A$29:$K$33,5,FALSE())*(Inputs!$B$25/14)*Inputs!$B$13)+Inputs!$B$18)+(1-C285)*((VLOOKUP("50m",Inputs!$A$29:$K$33,9,FALSE())*(Inputs!$B$25/14)*Inputs!$B$5+VLOOKUP("50m",Inputs!$A$29:$K$33,10,FALSE())*(Inputs!$B$25/14)*Inputs!$B$12+VLOOKUP("50m",Inputs!$A$29:$K$33,11,FALSE())*(Inputs!$B$25/14)*Inputs!$B$13)))</f>
        <v>329.535877300712</v>
      </c>
      <c r="E285" s="25" t="n">
        <f aca="false">0</f>
        <v>0</v>
      </c>
      <c r="F28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6" customFormat="false" ht="15" hidden="false" customHeight="true" outlineLevel="0" collapsed="false">
      <c r="A286" s="23" t="n">
        <v>6</v>
      </c>
      <c r="B286" s="24" t="b">
        <f aca="false">A286&lt;=Inputs!$B$17</f>
        <v>0</v>
      </c>
      <c r="C286" s="25" t="n">
        <f aca="false">C285*(1-Inputs!$B$22)</f>
        <v>0.06256125396</v>
      </c>
      <c r="D286" s="26" t="n">
        <f aca="false">IF(B286,C286*(VLOOKUP("50m",Inputs!$A$29:$K$33,3,FALSE())*(Inputs!$B$25/14)*Inputs!$B$5+VLOOKUP("50m",Inputs!$A$29:$K$33,4,FALSE())*(Inputs!$B$25/14)*Inputs!$B$12+VLOOKUP("50m",Inputs!$A$29:$K$33,5,FALSE())*(Inputs!$B$25/14)*Inputs!$B$13)+(1-C286)*(VLOOKUP("50m",Inputs!$A$29:$K$33,6,FALSE())*(Inputs!$B$25/14)*Inputs!$B$5+VLOOKUP("50m",Inputs!$A$29:$K$33,7,FALSE())*(Inputs!$B$25/14)*Inputs!$B$12+VLOOKUP("50m",Inputs!$A$29:$K$33,8,FALSE())*(Inputs!$B$25/14)*Inputs!$B$13),C286*((VLOOKUP("50m",Inputs!$A$29:$K$33,3,FALSE())*(Inputs!$B$25/14)*Inputs!$B$5+VLOOKUP("50m",Inputs!$A$29:$K$33,4,FALSE())*(Inputs!$B$25/14)*Inputs!$B$12+VLOOKUP("50m",Inputs!$A$29:$K$33,5,FALSE())*(Inputs!$B$25/14)*Inputs!$B$13)+Inputs!$B$18)+(1-C286)*((VLOOKUP("50m",Inputs!$A$29:$K$33,9,FALSE())*(Inputs!$B$25/14)*Inputs!$B$5+VLOOKUP("50m",Inputs!$A$29:$K$33,10,FALSE())*(Inputs!$B$25/14)*Inputs!$B$12+VLOOKUP("50m",Inputs!$A$29:$K$33,11,FALSE())*(Inputs!$B$25/14)*Inputs!$B$13)))</f>
        <v>328.934494197983</v>
      </c>
      <c r="E286" s="25" t="n">
        <f aca="false">0</f>
        <v>0</v>
      </c>
      <c r="F28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7" customFormat="false" ht="15" hidden="false" customHeight="true" outlineLevel="0" collapsed="false">
      <c r="A287" s="23" t="n">
        <v>7</v>
      </c>
      <c r="B287" s="24" t="b">
        <f aca="false">A287&lt;=Inputs!$B$17</f>
        <v>0</v>
      </c>
      <c r="C287" s="25" t="n">
        <f aca="false">C286*(1-Inputs!$B$22)</f>
        <v>0.0431672652324</v>
      </c>
      <c r="D287" s="26" t="n">
        <f aca="false">IF(B287,C287*(VLOOKUP("50m",Inputs!$A$29:$K$33,3,FALSE())*(Inputs!$B$25/14)*Inputs!$B$5+VLOOKUP("50m",Inputs!$A$29:$K$33,4,FALSE())*(Inputs!$B$25/14)*Inputs!$B$12+VLOOKUP("50m",Inputs!$A$29:$K$33,5,FALSE())*(Inputs!$B$25/14)*Inputs!$B$13)+(1-C287)*(VLOOKUP("50m",Inputs!$A$29:$K$33,6,FALSE())*(Inputs!$B$25/14)*Inputs!$B$5+VLOOKUP("50m",Inputs!$A$29:$K$33,7,FALSE())*(Inputs!$B$25/14)*Inputs!$B$12+VLOOKUP("50m",Inputs!$A$29:$K$33,8,FALSE())*(Inputs!$B$25/14)*Inputs!$B$13),C287*((VLOOKUP("50m",Inputs!$A$29:$K$33,3,FALSE())*(Inputs!$B$25/14)*Inputs!$B$5+VLOOKUP("50m",Inputs!$A$29:$K$33,4,FALSE())*(Inputs!$B$25/14)*Inputs!$B$12+VLOOKUP("50m",Inputs!$A$29:$K$33,5,FALSE())*(Inputs!$B$25/14)*Inputs!$B$13)+Inputs!$B$18)+(1-C287)*((VLOOKUP("50m",Inputs!$A$29:$K$33,9,FALSE())*(Inputs!$B$25/14)*Inputs!$B$5+VLOOKUP("50m",Inputs!$A$29:$K$33,10,FALSE())*(Inputs!$B$25/14)*Inputs!$B$12+VLOOKUP("50m",Inputs!$A$29:$K$33,11,FALSE())*(Inputs!$B$25/14)*Inputs!$B$13)))</f>
        <v>328.519539857099</v>
      </c>
      <c r="E287" s="25" t="n">
        <f aca="false">0</f>
        <v>0</v>
      </c>
      <c r="F28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8" customFormat="false" ht="15" hidden="false" customHeight="true" outlineLevel="0" collapsed="false">
      <c r="A288" s="23" t="n">
        <v>8</v>
      </c>
      <c r="B288" s="24" t="b">
        <f aca="false">A288&lt;=Inputs!$B$17</f>
        <v>0</v>
      </c>
      <c r="C288" s="25" t="n">
        <f aca="false">C287*(1-Inputs!$B$22)</f>
        <v>0.029785413010356</v>
      </c>
      <c r="D288" s="26" t="n">
        <f aca="false">IF(B288,C288*(VLOOKUP("50m",Inputs!$A$29:$K$33,3,FALSE())*(Inputs!$B$25/14)*Inputs!$B$5+VLOOKUP("50m",Inputs!$A$29:$K$33,4,FALSE())*(Inputs!$B$25/14)*Inputs!$B$12+VLOOKUP("50m",Inputs!$A$29:$K$33,5,FALSE())*(Inputs!$B$25/14)*Inputs!$B$13)+(1-C288)*(VLOOKUP("50m",Inputs!$A$29:$K$33,6,FALSE())*(Inputs!$B$25/14)*Inputs!$B$5+VLOOKUP("50m",Inputs!$A$29:$K$33,7,FALSE())*(Inputs!$B$25/14)*Inputs!$B$12+VLOOKUP("50m",Inputs!$A$29:$K$33,8,FALSE())*(Inputs!$B$25/14)*Inputs!$B$13),C288*((VLOOKUP("50m",Inputs!$A$29:$K$33,3,FALSE())*(Inputs!$B$25/14)*Inputs!$B$5+VLOOKUP("50m",Inputs!$A$29:$K$33,4,FALSE())*(Inputs!$B$25/14)*Inputs!$B$12+VLOOKUP("50m",Inputs!$A$29:$K$33,5,FALSE())*(Inputs!$B$25/14)*Inputs!$B$13)+Inputs!$B$18)+(1-C288)*((VLOOKUP("50m",Inputs!$A$29:$K$33,9,FALSE())*(Inputs!$B$25/14)*Inputs!$B$5+VLOOKUP("50m",Inputs!$A$29:$K$33,10,FALSE())*(Inputs!$B$25/14)*Inputs!$B$12+VLOOKUP("50m",Inputs!$A$29:$K$33,11,FALSE())*(Inputs!$B$25/14)*Inputs!$B$13)))</f>
        <v>328.233221361889</v>
      </c>
      <c r="E288" s="25" t="n">
        <f aca="false">0</f>
        <v>0</v>
      </c>
      <c r="F28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89" customFormat="false" ht="15" hidden="false" customHeight="true" outlineLevel="0" collapsed="false">
      <c r="A289" s="23" t="n">
        <v>9</v>
      </c>
      <c r="B289" s="24" t="b">
        <f aca="false">A289&lt;=Inputs!$B$17</f>
        <v>0</v>
      </c>
      <c r="C289" s="25" t="n">
        <f aca="false">C288*(1-Inputs!$B$22)</f>
        <v>0.0205519349771456</v>
      </c>
      <c r="D289" s="26" t="n">
        <f aca="false">IF(B289,C289*(VLOOKUP("50m",Inputs!$A$29:$K$33,3,FALSE())*(Inputs!$B$25/14)*Inputs!$B$5+VLOOKUP("50m",Inputs!$A$29:$K$33,4,FALSE())*(Inputs!$B$25/14)*Inputs!$B$12+VLOOKUP("50m",Inputs!$A$29:$K$33,5,FALSE())*(Inputs!$B$25/14)*Inputs!$B$13)+(1-C289)*(VLOOKUP("50m",Inputs!$A$29:$K$33,6,FALSE())*(Inputs!$B$25/14)*Inputs!$B$5+VLOOKUP("50m",Inputs!$A$29:$K$33,7,FALSE())*(Inputs!$B$25/14)*Inputs!$B$12+VLOOKUP("50m",Inputs!$A$29:$K$33,8,FALSE())*(Inputs!$B$25/14)*Inputs!$B$13),C289*((VLOOKUP("50m",Inputs!$A$29:$K$33,3,FALSE())*(Inputs!$B$25/14)*Inputs!$B$5+VLOOKUP("50m",Inputs!$A$29:$K$33,4,FALSE())*(Inputs!$B$25/14)*Inputs!$B$12+VLOOKUP("50m",Inputs!$A$29:$K$33,5,FALSE())*(Inputs!$B$25/14)*Inputs!$B$13)+Inputs!$B$18)+(1-C289)*((VLOOKUP("50m",Inputs!$A$29:$K$33,9,FALSE())*(Inputs!$B$25/14)*Inputs!$B$5+VLOOKUP("50m",Inputs!$A$29:$K$33,10,FALSE())*(Inputs!$B$25/14)*Inputs!$B$12+VLOOKUP("50m",Inputs!$A$29:$K$33,11,FALSE())*(Inputs!$B$25/14)*Inputs!$B$13)))</f>
        <v>328.035661600195</v>
      </c>
      <c r="E289" s="25" t="n">
        <f aca="false">0</f>
        <v>0</v>
      </c>
      <c r="F28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90" customFormat="false" ht="15" hidden="false" customHeight="true" outlineLevel="0" collapsed="false">
      <c r="A290" s="23" t="n">
        <v>10</v>
      </c>
      <c r="B290" s="24" t="b">
        <f aca="false">A290&lt;=Inputs!$B$17</f>
        <v>0</v>
      </c>
      <c r="C290" s="25" t="n">
        <f aca="false">C289*(1-Inputs!$B$22)</f>
        <v>0.0141808351342305</v>
      </c>
      <c r="D290" s="26" t="n">
        <f aca="false">IF(B290,C290*(VLOOKUP("50m",Inputs!$A$29:$K$33,3,FALSE())*(Inputs!$B$25/14)*Inputs!$B$5+VLOOKUP("50m",Inputs!$A$29:$K$33,4,FALSE())*(Inputs!$B$25/14)*Inputs!$B$12+VLOOKUP("50m",Inputs!$A$29:$K$33,5,FALSE())*(Inputs!$B$25/14)*Inputs!$B$13)+(1-C290)*(VLOOKUP("50m",Inputs!$A$29:$K$33,6,FALSE())*(Inputs!$B$25/14)*Inputs!$B$5+VLOOKUP("50m",Inputs!$A$29:$K$33,7,FALSE())*(Inputs!$B$25/14)*Inputs!$B$12+VLOOKUP("50m",Inputs!$A$29:$K$33,8,FALSE())*(Inputs!$B$25/14)*Inputs!$B$13),C290*((VLOOKUP("50m",Inputs!$A$29:$K$33,3,FALSE())*(Inputs!$B$25/14)*Inputs!$B$5+VLOOKUP("50m",Inputs!$A$29:$K$33,4,FALSE())*(Inputs!$B$25/14)*Inputs!$B$12+VLOOKUP("50m",Inputs!$A$29:$K$33,5,FALSE())*(Inputs!$B$25/14)*Inputs!$B$13)+Inputs!$B$18)+(1-C290)*((VLOOKUP("50m",Inputs!$A$29:$K$33,9,FALSE())*(Inputs!$B$25/14)*Inputs!$B$5+VLOOKUP("50m",Inputs!$A$29:$K$33,10,FALSE())*(Inputs!$B$25/14)*Inputs!$B$12+VLOOKUP("50m",Inputs!$A$29:$K$33,11,FALSE())*(Inputs!$B$25/14)*Inputs!$B$13)))</f>
        <v>327.899345364625</v>
      </c>
      <c r="E290" s="25" t="n">
        <f aca="false">0</f>
        <v>0</v>
      </c>
      <c r="F29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91" customFormat="false" ht="15" hidden="false" customHeight="true" outlineLevel="0" collapsed="false">
      <c r="A291" s="23" t="n">
        <v>11</v>
      </c>
      <c r="B291" s="24" t="b">
        <f aca="false">A291&lt;=Inputs!$B$17</f>
        <v>0</v>
      </c>
      <c r="C291" s="25" t="n">
        <f aca="false">C290*(1-Inputs!$B$22)</f>
        <v>0.00978477624261903</v>
      </c>
      <c r="D291" s="26" t="n">
        <f aca="false">IF(B291,C291*(VLOOKUP("50m",Inputs!$A$29:$K$33,3,FALSE())*(Inputs!$B$25/14)*Inputs!$B$5+VLOOKUP("50m",Inputs!$A$29:$K$33,4,FALSE())*(Inputs!$B$25/14)*Inputs!$B$12+VLOOKUP("50m",Inputs!$A$29:$K$33,5,FALSE())*(Inputs!$B$25/14)*Inputs!$B$13)+(1-C291)*(VLOOKUP("50m",Inputs!$A$29:$K$33,6,FALSE())*(Inputs!$B$25/14)*Inputs!$B$5+VLOOKUP("50m",Inputs!$A$29:$K$33,7,FALSE())*(Inputs!$B$25/14)*Inputs!$B$12+VLOOKUP("50m",Inputs!$A$29:$K$33,8,FALSE())*(Inputs!$B$25/14)*Inputs!$B$13),C291*((VLOOKUP("50m",Inputs!$A$29:$K$33,3,FALSE())*(Inputs!$B$25/14)*Inputs!$B$5+VLOOKUP("50m",Inputs!$A$29:$K$33,4,FALSE())*(Inputs!$B$25/14)*Inputs!$B$12+VLOOKUP("50m",Inputs!$A$29:$K$33,5,FALSE())*(Inputs!$B$25/14)*Inputs!$B$13)+Inputs!$B$18)+(1-C291)*((VLOOKUP("50m",Inputs!$A$29:$K$33,9,FALSE())*(Inputs!$B$25/14)*Inputs!$B$5+VLOOKUP("50m",Inputs!$A$29:$K$33,10,FALSE())*(Inputs!$B$25/14)*Inputs!$B$12+VLOOKUP("50m",Inputs!$A$29:$K$33,11,FALSE())*(Inputs!$B$25/14)*Inputs!$B$13)))</f>
        <v>327.805287162083</v>
      </c>
      <c r="E291" s="25" t="n">
        <f aca="false">0</f>
        <v>0</v>
      </c>
      <c r="F29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92" customFormat="false" ht="15" hidden="false" customHeight="true" outlineLevel="0" collapsed="false">
      <c r="A292" s="23" t="n">
        <v>12</v>
      </c>
      <c r="B292" s="24" t="b">
        <f aca="false">A292&lt;=Inputs!$B$17</f>
        <v>0</v>
      </c>
      <c r="C292" s="25" t="n">
        <f aca="false">C291*(1-Inputs!$B$22)</f>
        <v>0.00675149560740713</v>
      </c>
      <c r="D292" s="26" t="n">
        <f aca="false">IF(B292,C292*(VLOOKUP("50m",Inputs!$A$29:$K$33,3,FALSE())*(Inputs!$B$25/14)*Inputs!$B$5+VLOOKUP("50m",Inputs!$A$29:$K$33,4,FALSE())*(Inputs!$B$25/14)*Inputs!$B$12+VLOOKUP("50m",Inputs!$A$29:$K$33,5,FALSE())*(Inputs!$B$25/14)*Inputs!$B$13)+(1-C292)*(VLOOKUP("50m",Inputs!$A$29:$K$33,6,FALSE())*(Inputs!$B$25/14)*Inputs!$B$5+VLOOKUP("50m",Inputs!$A$29:$K$33,7,FALSE())*(Inputs!$B$25/14)*Inputs!$B$12+VLOOKUP("50m",Inputs!$A$29:$K$33,8,FALSE())*(Inputs!$B$25/14)*Inputs!$B$13),C292*((VLOOKUP("50m",Inputs!$A$29:$K$33,3,FALSE())*(Inputs!$B$25/14)*Inputs!$B$5+VLOOKUP("50m",Inputs!$A$29:$K$33,4,FALSE())*(Inputs!$B$25/14)*Inputs!$B$12+VLOOKUP("50m",Inputs!$A$29:$K$33,5,FALSE())*(Inputs!$B$25/14)*Inputs!$B$13)+Inputs!$B$18)+(1-C292)*((VLOOKUP("50m",Inputs!$A$29:$K$33,9,FALSE())*(Inputs!$B$25/14)*Inputs!$B$5+VLOOKUP("50m",Inputs!$A$29:$K$33,10,FALSE())*(Inputs!$B$25/14)*Inputs!$B$12+VLOOKUP("50m",Inputs!$A$29:$K$33,11,FALSE())*(Inputs!$B$25/14)*Inputs!$B$13)))</f>
        <v>327.740387002328</v>
      </c>
      <c r="E292" s="25" t="n">
        <f aca="false">0</f>
        <v>0</v>
      </c>
      <c r="F29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93" customFormat="false" ht="15" hidden="false" customHeight="true" outlineLevel="0" collapsed="false">
      <c r="A293" s="27" t="s">
        <v>125</v>
      </c>
      <c r="D293" s="28" t="n">
        <f aca="false">SUM(D281:D292)</f>
        <v>3777.92909812457</v>
      </c>
      <c r="F293" s="28" t="n">
        <f aca="false">SUM(F281:F292)</f>
        <v>3915.63538541811</v>
      </c>
    </row>
    <row r="295" customFormat="false" ht="15" hidden="false" customHeight="true" outlineLevel="0" collapsed="false">
      <c r="A295" s="27" t="s">
        <v>165</v>
      </c>
    </row>
    <row r="296" customFormat="false" ht="21.75" hidden="false" customHeight="true" outlineLevel="0" collapsed="false">
      <c r="A296" s="43" t="s">
        <v>92</v>
      </c>
      <c r="B296" s="43" t="s">
        <v>145</v>
      </c>
      <c r="C296" s="43" t="s">
        <v>146</v>
      </c>
      <c r="D296" s="43" t="s">
        <v>147</v>
      </c>
      <c r="E296" s="43" t="s">
        <v>148</v>
      </c>
      <c r="F296" s="43" t="s">
        <v>149</v>
      </c>
    </row>
    <row r="297" customFormat="false" ht="15" hidden="false" customHeight="true" outlineLevel="0" collapsed="false">
      <c r="A297" s="23" t="n">
        <v>1</v>
      </c>
      <c r="B297" s="24" t="b">
        <f aca="false">A297&lt;=Inputs!$B$17</f>
        <v>1</v>
      </c>
      <c r="C297" s="25" t="n">
        <f aca="false">VLOOKUP("50m",Inputs!$A$29:$K$33,2,FALSE())</f>
        <v>0.4</v>
      </c>
      <c r="D297" s="26" t="n">
        <f aca="false">IF(B297,C297*(VLOOKUP("50m",Inputs!$A$29:$K$33,3,FALSE())*(Inputs!$B$25/14)*Inputs!$B$5+VLOOKUP("50m",Inputs!$A$29:$K$33,4,FALSE())*(Inputs!$B$25/14)*Inputs!$B$12+VLOOKUP("50m",Inputs!$A$29:$K$33,5,FALSE())*(Inputs!$B$25/14)*Inputs!$B$13)+(1-C297)*(VLOOKUP("50m",Inputs!$A$29:$K$33,6,FALSE())*(Inputs!$B$25/14)*Inputs!$B$5+VLOOKUP("50m",Inputs!$A$29:$K$33,7,FALSE())*(Inputs!$B$25/14)*Inputs!$B$12+VLOOKUP("50m",Inputs!$A$29:$K$33,8,FALSE())*(Inputs!$B$25/14)*Inputs!$B$13),C297*((VLOOKUP("50m",Inputs!$A$29:$K$33,3,FALSE())*(Inputs!$B$25/14)*Inputs!$B$5+VLOOKUP("50m",Inputs!$A$29:$K$33,4,FALSE())*(Inputs!$B$25/14)*Inputs!$B$12+VLOOKUP("50m",Inputs!$A$29:$K$33,5,FALSE())*(Inputs!$B$25/14)*Inputs!$B$13)+Inputs!$B$18)+(1-C297)*((INDEX(Inputs!$A$37:$C$37,1,1)*(Inputs!$B$25/14)*Inputs!$B$5+INDEX(Inputs!$A$37:$C$37,1,2)*(Inputs!$B$25/14)*Inputs!$B$12+INDEX(Inputs!$A$37:$C$37,1,3)*(Inputs!$B$25/14)*Inputs!$B$13)))</f>
        <v>252.821009984821</v>
      </c>
      <c r="E297" s="25" t="n">
        <f aca="false">Inputs!$B$21</f>
        <v>0.083</v>
      </c>
      <c r="F297" s="26" t="n">
        <f aca="false">E297*(VLOOKUP("50m",Inputs!$A$29:$K$33,3,FALSE())*(Inputs!$B$25/14)*Inputs!$B$5+VLOOKUP("50m",Inputs!$A$29:$K$33,4,FALSE())*(Inputs!$B$25/14)*Inputs!$B$12+VLOOKUP("50m",Inputs!$A$29:$K$33,5,FALSE())*(Inputs!$B$25/14)*Inputs!$B$13)+(1-E297)*(INDEX(Inputs!$A$37:$C$37,1,1)*(Inputs!$B$25/14)*Inputs!$B$5+INDEX(Inputs!$A$37:$C$37,1,2)*(Inputs!$B$25/14)*Inputs!$B$12+INDEX(Inputs!$A$37:$C$37,1,3)*(Inputs!$B$25/14)*Inputs!$B$13)</f>
        <v>312.080135529719</v>
      </c>
    </row>
    <row r="298" customFormat="false" ht="15" hidden="false" customHeight="true" outlineLevel="0" collapsed="false">
      <c r="A298" s="23" t="n">
        <v>2</v>
      </c>
      <c r="B298" s="24" t="b">
        <f aca="false">A298&lt;=Inputs!$B$17</f>
        <v>1</v>
      </c>
      <c r="C298" s="25" t="n">
        <f aca="false">C297*(1-Inputs!$B$22*(0.9^(A298-2)))</f>
        <v>0.276</v>
      </c>
      <c r="D298" s="26" t="n">
        <f aca="false">IF(B298,C298*(VLOOKUP("50m",Inputs!$A$29:$K$33,3,FALSE())*(Inputs!$B$25/14)*Inputs!$B$5+VLOOKUP("50m",Inputs!$A$29:$K$33,4,FALSE())*(Inputs!$B$25/14)*Inputs!$B$12+VLOOKUP("50m",Inputs!$A$29:$K$33,5,FALSE())*(Inputs!$B$25/14)*Inputs!$B$13)+(1-C298)*(VLOOKUP("50m",Inputs!$A$29:$K$33,6,FALSE())*(Inputs!$B$25/14)*Inputs!$B$5+VLOOKUP("50m",Inputs!$A$29:$K$33,7,FALSE())*(Inputs!$B$25/14)*Inputs!$B$12+VLOOKUP("50m",Inputs!$A$29:$K$33,8,FALSE())*(Inputs!$B$25/14)*Inputs!$B$13),C298*((VLOOKUP("50m",Inputs!$A$29:$K$33,3,FALSE())*(Inputs!$B$25/14)*Inputs!$B$5+VLOOKUP("50m",Inputs!$A$29:$K$33,4,FALSE())*(Inputs!$B$25/14)*Inputs!$B$12+VLOOKUP("50m",Inputs!$A$29:$K$33,5,FALSE())*(Inputs!$B$25/14)*Inputs!$B$13)+Inputs!$B$18)+(1-C298)*((INDEX(Inputs!$A$37:$C$37,1,1)*(Inputs!$B$25/14)*Inputs!$B$5+INDEX(Inputs!$A$37:$C$37,1,2)*(Inputs!$B$25/14)*Inputs!$B$12+INDEX(Inputs!$A$37:$C$37,1,3)*(Inputs!$B$25/14)*Inputs!$B$13)))</f>
        <v>276.001235750018</v>
      </c>
      <c r="E298" s="25" t="n">
        <f aca="false">0</f>
        <v>0</v>
      </c>
      <c r="F29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299" customFormat="false" ht="15" hidden="false" customHeight="true" outlineLevel="0" collapsed="false">
      <c r="A299" s="23" t="n">
        <v>3</v>
      </c>
      <c r="B299" s="24" t="b">
        <f aca="false">A299&lt;=Inputs!$B$17</f>
        <v>1</v>
      </c>
      <c r="C299" s="25" t="n">
        <f aca="false">C298*(1-Inputs!$B$22*(0.9^(A299-2)))</f>
        <v>0.198996</v>
      </c>
      <c r="D299" s="26" t="n">
        <f aca="false">IF(B299,C299*(VLOOKUP("50m",Inputs!$A$29:$K$33,3,FALSE())*(Inputs!$B$25/14)*Inputs!$B$5+VLOOKUP("50m",Inputs!$A$29:$K$33,4,FALSE())*(Inputs!$B$25/14)*Inputs!$B$12+VLOOKUP("50m",Inputs!$A$29:$K$33,5,FALSE())*(Inputs!$B$25/14)*Inputs!$B$13)+(1-C299)*(VLOOKUP("50m",Inputs!$A$29:$K$33,6,FALSE())*(Inputs!$B$25/14)*Inputs!$B$5+VLOOKUP("50m",Inputs!$A$29:$K$33,7,FALSE())*(Inputs!$B$25/14)*Inputs!$B$12+VLOOKUP("50m",Inputs!$A$29:$K$33,8,FALSE())*(Inputs!$B$25/14)*Inputs!$B$13),C299*((VLOOKUP("50m",Inputs!$A$29:$K$33,3,FALSE())*(Inputs!$B$25/14)*Inputs!$B$5+VLOOKUP("50m",Inputs!$A$29:$K$33,4,FALSE())*(Inputs!$B$25/14)*Inputs!$B$12+VLOOKUP("50m",Inputs!$A$29:$K$33,5,FALSE())*(Inputs!$B$25/14)*Inputs!$B$13)+Inputs!$B$18)+(1-C299)*((INDEX(Inputs!$A$37:$C$37,1,1)*(Inputs!$B$25/14)*Inputs!$B$5+INDEX(Inputs!$A$37:$C$37,1,2)*(Inputs!$B$25/14)*Inputs!$B$12+INDEX(Inputs!$A$37:$C$37,1,3)*(Inputs!$B$25/14)*Inputs!$B$13)))</f>
        <v>290.396155950205</v>
      </c>
      <c r="E299" s="25" t="n">
        <f aca="false">0</f>
        <v>0</v>
      </c>
      <c r="F29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0" customFormat="false" ht="15" hidden="false" customHeight="true" outlineLevel="0" collapsed="false">
      <c r="A300" s="23" t="n">
        <v>4</v>
      </c>
      <c r="B300" s="24" t="b">
        <f aca="false">A300&lt;=Inputs!$B$17</f>
        <v>0</v>
      </c>
      <c r="C300" s="25" t="n">
        <f aca="false">C299*(1-Inputs!$B$22*(0.9^(A300-2)))</f>
        <v>0.1490281044</v>
      </c>
      <c r="D300" s="26" t="n">
        <f aca="false">IF(B300,C300*(VLOOKUP("50m",Inputs!$A$29:$K$33,3,FALSE())*(Inputs!$B$25/14)*Inputs!$B$5+VLOOKUP("50m",Inputs!$A$29:$K$33,4,FALSE())*(Inputs!$B$25/14)*Inputs!$B$12+VLOOKUP("50m",Inputs!$A$29:$K$33,5,FALSE())*(Inputs!$B$25/14)*Inputs!$B$13)+(1-C300)*(VLOOKUP("50m",Inputs!$A$29:$K$33,6,FALSE())*(Inputs!$B$25/14)*Inputs!$B$5+VLOOKUP("50m",Inputs!$A$29:$K$33,7,FALSE())*(Inputs!$B$25/14)*Inputs!$B$12+VLOOKUP("50m",Inputs!$A$29:$K$33,8,FALSE())*(Inputs!$B$25/14)*Inputs!$B$13),C300*((VLOOKUP("50m",Inputs!$A$29:$K$33,3,FALSE())*(Inputs!$B$25/14)*Inputs!$B$5+VLOOKUP("50m",Inputs!$A$29:$K$33,4,FALSE())*(Inputs!$B$25/14)*Inputs!$B$12+VLOOKUP("50m",Inputs!$A$29:$K$33,5,FALSE())*(Inputs!$B$25/14)*Inputs!$B$13)+Inputs!$B$18)+(1-C300)*((INDEX(Inputs!$A$37:$C$37,1,1)*(Inputs!$B$25/14)*Inputs!$B$5+INDEX(Inputs!$A$37:$C$37,1,2)*(Inputs!$B$25/14)*Inputs!$B$12+INDEX(Inputs!$A$37:$C$37,1,3)*(Inputs!$B$25/14)*Inputs!$B$13)))</f>
        <v>330.784541418106</v>
      </c>
      <c r="E300" s="25" t="n">
        <f aca="false">0</f>
        <v>0</v>
      </c>
      <c r="F30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1" customFormat="false" ht="15" hidden="false" customHeight="true" outlineLevel="0" collapsed="false">
      <c r="A301" s="23" t="n">
        <v>5</v>
      </c>
      <c r="B301" s="24" t="b">
        <f aca="false">A301&lt;=Inputs!$B$17</f>
        <v>0</v>
      </c>
      <c r="C301" s="25" t="n">
        <f aca="false">C300*(1-Inputs!$B$22*(0.9^(A301-2)))</f>
        <v>0.115349243086644</v>
      </c>
      <c r="D301" s="26" t="n">
        <f aca="false">IF(B301,C301*(VLOOKUP("50m",Inputs!$A$29:$K$33,3,FALSE())*(Inputs!$B$25/14)*Inputs!$B$5+VLOOKUP("50m",Inputs!$A$29:$K$33,4,FALSE())*(Inputs!$B$25/14)*Inputs!$B$12+VLOOKUP("50m",Inputs!$A$29:$K$33,5,FALSE())*(Inputs!$B$25/14)*Inputs!$B$13)+(1-C301)*(VLOOKUP("50m",Inputs!$A$29:$K$33,6,FALSE())*(Inputs!$B$25/14)*Inputs!$B$5+VLOOKUP("50m",Inputs!$A$29:$K$33,7,FALSE())*(Inputs!$B$25/14)*Inputs!$B$12+VLOOKUP("50m",Inputs!$A$29:$K$33,8,FALSE())*(Inputs!$B$25/14)*Inputs!$B$13),C301*((VLOOKUP("50m",Inputs!$A$29:$K$33,3,FALSE())*(Inputs!$B$25/14)*Inputs!$B$5+VLOOKUP("50m",Inputs!$A$29:$K$33,4,FALSE())*(Inputs!$B$25/14)*Inputs!$B$12+VLOOKUP("50m",Inputs!$A$29:$K$33,5,FALSE())*(Inputs!$B$25/14)*Inputs!$B$13)+Inputs!$B$18)+(1-C301)*((INDEX(Inputs!$A$37:$C$37,1,1)*(Inputs!$B$25/14)*Inputs!$B$5+INDEX(Inputs!$A$37:$C$37,1,2)*(Inputs!$B$25/14)*Inputs!$B$12+INDEX(Inputs!$A$37:$C$37,1,3)*(Inputs!$B$25/14)*Inputs!$B$13)))</f>
        <v>330.063947532326</v>
      </c>
      <c r="E301" s="25" t="n">
        <f aca="false">0</f>
        <v>0</v>
      </c>
      <c r="F30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2" customFormat="false" ht="15" hidden="false" customHeight="true" outlineLevel="0" collapsed="false">
      <c r="A302" s="23" t="n">
        <v>6</v>
      </c>
      <c r="B302" s="24" t="b">
        <f aca="false">A302&lt;=Inputs!$B$17</f>
        <v>0</v>
      </c>
      <c r="C302" s="25" t="n">
        <f aca="false">C301*(1-Inputs!$B$22*(0.9^(A302-2)))</f>
        <v>0.0918882451860084</v>
      </c>
      <c r="D302" s="26" t="n">
        <f aca="false">IF(B302,C302*(VLOOKUP("50m",Inputs!$A$29:$K$33,3,FALSE())*(Inputs!$B$25/14)*Inputs!$B$5+VLOOKUP("50m",Inputs!$A$29:$K$33,4,FALSE())*(Inputs!$B$25/14)*Inputs!$B$12+VLOOKUP("50m",Inputs!$A$29:$K$33,5,FALSE())*(Inputs!$B$25/14)*Inputs!$B$13)+(1-C302)*(VLOOKUP("50m",Inputs!$A$29:$K$33,6,FALSE())*(Inputs!$B$25/14)*Inputs!$B$5+VLOOKUP("50m",Inputs!$A$29:$K$33,7,FALSE())*(Inputs!$B$25/14)*Inputs!$B$12+VLOOKUP("50m",Inputs!$A$29:$K$33,8,FALSE())*(Inputs!$B$25/14)*Inputs!$B$13),C302*((VLOOKUP("50m",Inputs!$A$29:$K$33,3,FALSE())*(Inputs!$B$25/14)*Inputs!$B$5+VLOOKUP("50m",Inputs!$A$29:$K$33,4,FALSE())*(Inputs!$B$25/14)*Inputs!$B$12+VLOOKUP("50m",Inputs!$A$29:$K$33,5,FALSE())*(Inputs!$B$25/14)*Inputs!$B$13)+Inputs!$B$18)+(1-C302)*((INDEX(Inputs!$A$37:$C$37,1,1)*(Inputs!$B$25/14)*Inputs!$B$5+INDEX(Inputs!$A$37:$C$37,1,2)*(Inputs!$B$25/14)*Inputs!$B$12+INDEX(Inputs!$A$37:$C$37,1,3)*(Inputs!$B$25/14)*Inputs!$B$13)))</f>
        <v>329.561975346147</v>
      </c>
      <c r="E302" s="25" t="n">
        <f aca="false">0</f>
        <v>0</v>
      </c>
      <c r="F30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3" customFormat="false" ht="15" hidden="false" customHeight="true" outlineLevel="0" collapsed="false">
      <c r="A303" s="23" t="n">
        <v>7</v>
      </c>
      <c r="B303" s="24" t="b">
        <f aca="false">A303&lt;=Inputs!$B$17</f>
        <v>0</v>
      </c>
      <c r="C303" s="25" t="n">
        <f aca="false">C302*(1-Inputs!$B$22*(0.9^(A303-2)))</f>
        <v>0.0750679273170437</v>
      </c>
      <c r="D303" s="26" t="n">
        <f aca="false">IF(B303,C303*(VLOOKUP("50m",Inputs!$A$29:$K$33,3,FALSE())*(Inputs!$B$25/14)*Inputs!$B$5+VLOOKUP("50m",Inputs!$A$29:$K$33,4,FALSE())*(Inputs!$B$25/14)*Inputs!$B$12+VLOOKUP("50m",Inputs!$A$29:$K$33,5,FALSE())*(Inputs!$B$25/14)*Inputs!$B$13)+(1-C303)*(VLOOKUP("50m",Inputs!$A$29:$K$33,6,FALSE())*(Inputs!$B$25/14)*Inputs!$B$5+VLOOKUP("50m",Inputs!$A$29:$K$33,7,FALSE())*(Inputs!$B$25/14)*Inputs!$B$12+VLOOKUP("50m",Inputs!$A$29:$K$33,8,FALSE())*(Inputs!$B$25/14)*Inputs!$B$13),C303*((VLOOKUP("50m",Inputs!$A$29:$K$33,3,FALSE())*(Inputs!$B$25/14)*Inputs!$B$5+VLOOKUP("50m",Inputs!$A$29:$K$33,4,FALSE())*(Inputs!$B$25/14)*Inputs!$B$12+VLOOKUP("50m",Inputs!$A$29:$K$33,5,FALSE())*(Inputs!$B$25/14)*Inputs!$B$13)+Inputs!$B$18)+(1-C303)*((INDEX(Inputs!$A$37:$C$37,1,1)*(Inputs!$B$25/14)*Inputs!$B$5+INDEX(Inputs!$A$37:$C$37,1,2)*(Inputs!$B$25/14)*Inputs!$B$12+INDEX(Inputs!$A$37:$C$37,1,3)*(Inputs!$B$25/14)*Inputs!$B$13)))</f>
        <v>329.202087341013</v>
      </c>
      <c r="E303" s="25" t="n">
        <f aca="false">0</f>
        <v>0</v>
      </c>
      <c r="F30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4" customFormat="false" ht="15" hidden="false" customHeight="true" outlineLevel="0" collapsed="false">
      <c r="A304" s="23" t="n">
        <v>8</v>
      </c>
      <c r="B304" s="24" t="b">
        <f aca="false">A304&lt;=Inputs!$B$17</f>
        <v>0</v>
      </c>
      <c r="C304" s="25" t="n">
        <f aca="false">C303*(1-Inputs!$B$22*(0.9^(A304-2)))</f>
        <v>0.0627007332650416</v>
      </c>
      <c r="D304" s="26" t="n">
        <f aca="false">IF(B304,C304*(VLOOKUP("50m",Inputs!$A$29:$K$33,3,FALSE())*(Inputs!$B$25/14)*Inputs!$B$5+VLOOKUP("50m",Inputs!$A$29:$K$33,4,FALSE())*(Inputs!$B$25/14)*Inputs!$B$12+VLOOKUP("50m",Inputs!$A$29:$K$33,5,FALSE())*(Inputs!$B$25/14)*Inputs!$B$13)+(1-C304)*(VLOOKUP("50m",Inputs!$A$29:$K$33,6,FALSE())*(Inputs!$B$25/14)*Inputs!$B$5+VLOOKUP("50m",Inputs!$A$29:$K$33,7,FALSE())*(Inputs!$B$25/14)*Inputs!$B$12+VLOOKUP("50m",Inputs!$A$29:$K$33,8,FALSE())*(Inputs!$B$25/14)*Inputs!$B$13),C304*((VLOOKUP("50m",Inputs!$A$29:$K$33,3,FALSE())*(Inputs!$B$25/14)*Inputs!$B$5+VLOOKUP("50m",Inputs!$A$29:$K$33,4,FALSE())*(Inputs!$B$25/14)*Inputs!$B$12+VLOOKUP("50m",Inputs!$A$29:$K$33,5,FALSE())*(Inputs!$B$25/14)*Inputs!$B$13)+Inputs!$B$18)+(1-C304)*((INDEX(Inputs!$A$37:$C$37,1,1)*(Inputs!$B$25/14)*Inputs!$B$5+INDEX(Inputs!$A$37:$C$37,1,2)*(Inputs!$B$25/14)*Inputs!$B$12+INDEX(Inputs!$A$37:$C$37,1,3)*(Inputs!$B$25/14)*Inputs!$B$13)))</f>
        <v>328.937478501207</v>
      </c>
      <c r="E304" s="25" t="n">
        <f aca="false">0</f>
        <v>0</v>
      </c>
      <c r="F30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5" customFormat="false" ht="15" hidden="false" customHeight="true" outlineLevel="0" collapsed="false">
      <c r="A305" s="23" t="n">
        <v>9</v>
      </c>
      <c r="B305" s="24" t="b">
        <f aca="false">A305&lt;=Inputs!$B$17</f>
        <v>0</v>
      </c>
      <c r="C305" s="25" t="n">
        <f aca="false">C304*(1-Inputs!$B$22*(0.9^(A305-2)))</f>
        <v>0.0534039676970388</v>
      </c>
      <c r="D305" s="26" t="n">
        <f aca="false">IF(B305,C305*(VLOOKUP("50m",Inputs!$A$29:$K$33,3,FALSE())*(Inputs!$B$25/14)*Inputs!$B$5+VLOOKUP("50m",Inputs!$A$29:$K$33,4,FALSE())*(Inputs!$B$25/14)*Inputs!$B$12+VLOOKUP("50m",Inputs!$A$29:$K$33,5,FALSE())*(Inputs!$B$25/14)*Inputs!$B$13)+(1-C305)*(VLOOKUP("50m",Inputs!$A$29:$K$33,6,FALSE())*(Inputs!$B$25/14)*Inputs!$B$5+VLOOKUP("50m",Inputs!$A$29:$K$33,7,FALSE())*(Inputs!$B$25/14)*Inputs!$B$12+VLOOKUP("50m",Inputs!$A$29:$K$33,8,FALSE())*(Inputs!$B$25/14)*Inputs!$B$13),C305*((VLOOKUP("50m",Inputs!$A$29:$K$33,3,FALSE())*(Inputs!$B$25/14)*Inputs!$B$5+VLOOKUP("50m",Inputs!$A$29:$K$33,4,FALSE())*(Inputs!$B$25/14)*Inputs!$B$12+VLOOKUP("50m",Inputs!$A$29:$K$33,5,FALSE())*(Inputs!$B$25/14)*Inputs!$B$13)+Inputs!$B$18)+(1-C305)*((INDEX(Inputs!$A$37:$C$37,1,1)*(Inputs!$B$25/14)*Inputs!$B$5+INDEX(Inputs!$A$37:$C$37,1,2)*(Inputs!$B$25/14)*Inputs!$B$12+INDEX(Inputs!$A$37:$C$37,1,3)*(Inputs!$B$25/14)*Inputs!$B$13)))</f>
        <v>328.738564637597</v>
      </c>
      <c r="E305" s="25" t="n">
        <f aca="false">0</f>
        <v>0</v>
      </c>
      <c r="F30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6" customFormat="false" ht="15" hidden="false" customHeight="true" outlineLevel="0" collapsed="false">
      <c r="A306" s="23" t="n">
        <v>10</v>
      </c>
      <c r="B306" s="24" t="b">
        <f aca="false">A306&lt;=Inputs!$B$17</f>
        <v>0</v>
      </c>
      <c r="C306" s="25" t="n">
        <f aca="false">C305*(1-Inputs!$B$22*(0.9^(A306-2)))</f>
        <v>0.0462774840340217</v>
      </c>
      <c r="D306" s="26" t="n">
        <f aca="false">IF(B306,C306*(VLOOKUP("50m",Inputs!$A$29:$K$33,3,FALSE())*(Inputs!$B$25/14)*Inputs!$B$5+VLOOKUP("50m",Inputs!$A$29:$K$33,4,FALSE())*(Inputs!$B$25/14)*Inputs!$B$12+VLOOKUP("50m",Inputs!$A$29:$K$33,5,FALSE())*(Inputs!$B$25/14)*Inputs!$B$13)+(1-C306)*(VLOOKUP("50m",Inputs!$A$29:$K$33,6,FALSE())*(Inputs!$B$25/14)*Inputs!$B$5+VLOOKUP("50m",Inputs!$A$29:$K$33,7,FALSE())*(Inputs!$B$25/14)*Inputs!$B$12+VLOOKUP("50m",Inputs!$A$29:$K$33,8,FALSE())*(Inputs!$B$25/14)*Inputs!$B$13),C306*((VLOOKUP("50m",Inputs!$A$29:$K$33,3,FALSE())*(Inputs!$B$25/14)*Inputs!$B$5+VLOOKUP("50m",Inputs!$A$29:$K$33,4,FALSE())*(Inputs!$B$25/14)*Inputs!$B$12+VLOOKUP("50m",Inputs!$A$29:$K$33,5,FALSE())*(Inputs!$B$25/14)*Inputs!$B$13)+Inputs!$B$18)+(1-C306)*((INDEX(Inputs!$A$37:$C$37,1,1)*(Inputs!$B$25/14)*Inputs!$B$5+INDEX(Inputs!$A$37:$C$37,1,2)*(Inputs!$B$25/14)*Inputs!$B$12+INDEX(Inputs!$A$37:$C$37,1,3)*(Inputs!$B$25/14)*Inputs!$B$13)))</f>
        <v>328.586086188076</v>
      </c>
      <c r="E306" s="25" t="n">
        <f aca="false">0</f>
        <v>0</v>
      </c>
      <c r="F30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7" customFormat="false" ht="15" hidden="false" customHeight="true" outlineLevel="0" collapsed="false">
      <c r="A307" s="23" t="n">
        <v>11</v>
      </c>
      <c r="B307" s="24" t="b">
        <f aca="false">A307&lt;=Inputs!$B$17</f>
        <v>0</v>
      </c>
      <c r="C307" s="25" t="n">
        <f aca="false">C306*(1-Inputs!$B$22*(0.9^(A307-2)))</f>
        <v>0.0407195419308351</v>
      </c>
      <c r="D307" s="26" t="n">
        <f aca="false">IF(B307,C307*(VLOOKUP("50m",Inputs!$A$29:$K$33,3,FALSE())*(Inputs!$B$25/14)*Inputs!$B$5+VLOOKUP("50m",Inputs!$A$29:$K$33,4,FALSE())*(Inputs!$B$25/14)*Inputs!$B$12+VLOOKUP("50m",Inputs!$A$29:$K$33,5,FALSE())*(Inputs!$B$25/14)*Inputs!$B$13)+(1-C307)*(VLOOKUP("50m",Inputs!$A$29:$K$33,6,FALSE())*(Inputs!$B$25/14)*Inputs!$B$5+VLOOKUP("50m",Inputs!$A$29:$K$33,7,FALSE())*(Inputs!$B$25/14)*Inputs!$B$12+VLOOKUP("50m",Inputs!$A$29:$K$33,8,FALSE())*(Inputs!$B$25/14)*Inputs!$B$13),C307*((VLOOKUP("50m",Inputs!$A$29:$K$33,3,FALSE())*(Inputs!$B$25/14)*Inputs!$B$5+VLOOKUP("50m",Inputs!$A$29:$K$33,4,FALSE())*(Inputs!$B$25/14)*Inputs!$B$12+VLOOKUP("50m",Inputs!$A$29:$K$33,5,FALSE())*(Inputs!$B$25/14)*Inputs!$B$13)+Inputs!$B$18)+(1-C307)*((INDEX(Inputs!$A$37:$C$37,1,1)*(Inputs!$B$25/14)*Inputs!$B$5+INDEX(Inputs!$A$37:$C$37,1,2)*(Inputs!$B$25/14)*Inputs!$B$12+INDEX(Inputs!$A$37:$C$37,1,3)*(Inputs!$B$25/14)*Inputs!$B$13)))</f>
        <v>328.467168298905</v>
      </c>
      <c r="E307" s="25" t="n">
        <f aca="false">0</f>
        <v>0</v>
      </c>
      <c r="F30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8" customFormat="false" ht="15" hidden="false" customHeight="true" outlineLevel="0" collapsed="false">
      <c r="A308" s="23" t="n">
        <v>12</v>
      </c>
      <c r="B308" s="24" t="b">
        <f aca="false">A308&lt;=Inputs!$B$17</f>
        <v>0</v>
      </c>
      <c r="C308" s="25" t="n">
        <f aca="false">C307*(1-Inputs!$B$22*(0.9^(A308-2)))</f>
        <v>0.0363181537586057</v>
      </c>
      <c r="D308" s="26" t="n">
        <f aca="false">IF(B308,C308*(VLOOKUP("50m",Inputs!$A$29:$K$33,3,FALSE())*(Inputs!$B$25/14)*Inputs!$B$5+VLOOKUP("50m",Inputs!$A$29:$K$33,4,FALSE())*(Inputs!$B$25/14)*Inputs!$B$12+VLOOKUP("50m",Inputs!$A$29:$K$33,5,FALSE())*(Inputs!$B$25/14)*Inputs!$B$13)+(1-C308)*(VLOOKUP("50m",Inputs!$A$29:$K$33,6,FALSE())*(Inputs!$B$25/14)*Inputs!$B$5+VLOOKUP("50m",Inputs!$A$29:$K$33,7,FALSE())*(Inputs!$B$25/14)*Inputs!$B$12+VLOOKUP("50m",Inputs!$A$29:$K$33,8,FALSE())*(Inputs!$B$25/14)*Inputs!$B$13),C308*((VLOOKUP("50m",Inputs!$A$29:$K$33,3,FALSE())*(Inputs!$B$25/14)*Inputs!$B$5+VLOOKUP("50m",Inputs!$A$29:$K$33,4,FALSE())*(Inputs!$B$25/14)*Inputs!$B$12+VLOOKUP("50m",Inputs!$A$29:$K$33,5,FALSE())*(Inputs!$B$25/14)*Inputs!$B$13)+Inputs!$B$18)+(1-C308)*((INDEX(Inputs!$A$37:$C$37,1,1)*(Inputs!$B$25/14)*Inputs!$B$5+INDEX(Inputs!$A$37:$C$37,1,2)*(Inputs!$B$25/14)*Inputs!$B$12+INDEX(Inputs!$A$37:$C$37,1,3)*(Inputs!$B$25/14)*Inputs!$B$13)))</f>
        <v>328.372996070921</v>
      </c>
      <c r="E308" s="25" t="n">
        <f aca="false">0</f>
        <v>0</v>
      </c>
      <c r="F30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09" customFormat="false" ht="15" hidden="false" customHeight="true" outlineLevel="0" collapsed="false">
      <c r="A309" s="27" t="s">
        <v>125</v>
      </c>
      <c r="D309" s="28" t="n">
        <f aca="false">SUM(D297:D308)</f>
        <v>3781.93324701934</v>
      </c>
      <c r="F309" s="28" t="n">
        <f aca="false">SUM(F297:F308)</f>
        <v>3915.63538541811</v>
      </c>
    </row>
    <row r="311" customFormat="false" ht="15" hidden="false" customHeight="true" outlineLevel="0" collapsed="false">
      <c r="A311" s="27" t="s">
        <v>166</v>
      </c>
    </row>
    <row r="312" customFormat="false" ht="21.75" hidden="false" customHeight="true" outlineLevel="0" collapsed="false">
      <c r="A312" s="43" t="s">
        <v>92</v>
      </c>
      <c r="B312" s="43" t="s">
        <v>145</v>
      </c>
      <c r="C312" s="43" t="s">
        <v>146</v>
      </c>
      <c r="D312" s="43" t="s">
        <v>147</v>
      </c>
      <c r="E312" s="43" t="s">
        <v>148</v>
      </c>
      <c r="F312" s="43" t="s">
        <v>149</v>
      </c>
    </row>
    <row r="313" customFormat="false" ht="15" hidden="false" customHeight="true" outlineLevel="0" collapsed="false">
      <c r="A313" s="23" t="n">
        <v>1</v>
      </c>
      <c r="B313" s="24" t="b">
        <f aca="false">A313&lt;=Inputs!$B$17</f>
        <v>1</v>
      </c>
      <c r="C313" s="25" t="n">
        <f aca="false">VLOOKUP("50m",Inputs!$A$29:$K$33,2,FALSE())</f>
        <v>0.4</v>
      </c>
      <c r="D313" s="26" t="n">
        <f aca="false">IF(B313,C313*(VLOOKUP("50m",Inputs!$A$29:$K$33,3,FALSE())*(Inputs!$B$25/14)*Inputs!$B$5+VLOOKUP("50m",Inputs!$A$29:$K$33,4,FALSE())*(Inputs!$B$25/14)*Inputs!$B$12+VLOOKUP("50m",Inputs!$A$29:$K$33,5,FALSE())*(Inputs!$B$25/14)*Inputs!$B$13)+(1-C313)*(VLOOKUP("50m",Inputs!$A$29:$K$33,6,FALSE())*(Inputs!$B$25/14)*Inputs!$B$5+VLOOKUP("50m",Inputs!$A$29:$K$33,7,FALSE())*(Inputs!$B$25/14)*Inputs!$B$12+VLOOKUP("50m",Inputs!$A$29:$K$33,8,FALSE())*(Inputs!$B$25/14)*Inputs!$B$13),C313*((VLOOKUP("50m",Inputs!$A$29:$K$33,3,FALSE())*(Inputs!$B$25/14)*Inputs!$B$5+VLOOKUP("50m",Inputs!$A$29:$K$33,4,FALSE())*(Inputs!$B$25/14)*Inputs!$B$12+VLOOKUP("50m",Inputs!$A$29:$K$33,5,FALSE())*(Inputs!$B$25/14)*Inputs!$B$13)+Inputs!$B$18)+(1-C313)*((VLOOKUP("50m",Inputs!$A$29:$K$33,9,FALSE())*(Inputs!$B$25/14)*Inputs!$B$5+VLOOKUP("50m",Inputs!$A$29:$K$33,10,FALSE())*(Inputs!$B$25/14)*Inputs!$B$12+VLOOKUP("50m",Inputs!$A$29:$K$33,11,FALSE())*(Inputs!$B$25/14)*Inputs!$B$13)))</f>
        <v>252.821009984821</v>
      </c>
      <c r="E313" s="25" t="n">
        <f aca="false">Inputs!$B$21</f>
        <v>0.083</v>
      </c>
      <c r="F313" s="26" t="n">
        <f aca="false">E313*(VLOOKUP("50m",Inputs!$A$29:$K$33,3,FALSE())*(Inputs!$B$25/14)*Inputs!$B$5+VLOOKUP("50m",Inputs!$A$29:$K$33,4,FALSE())*(Inputs!$B$25/14)*Inputs!$B$12+VLOOKUP("50m",Inputs!$A$29:$K$33,5,FALSE())*(Inputs!$B$25/14)*Inputs!$B$13)+(1-E313)*(INDEX(Inputs!$A$37:$C$37,1,1)*(Inputs!$B$25/14)*Inputs!$B$5+INDEX(Inputs!$A$37:$C$37,1,2)*(Inputs!$B$25/14)*Inputs!$B$12+INDEX(Inputs!$A$37:$C$37,1,3)*(Inputs!$B$25/14)*Inputs!$B$13)</f>
        <v>312.080135529719</v>
      </c>
    </row>
    <row r="314" customFormat="false" ht="15" hidden="false" customHeight="true" outlineLevel="0" collapsed="false">
      <c r="A314" s="23" t="n">
        <v>2</v>
      </c>
      <c r="B314" s="24" t="b">
        <f aca="false">A314&lt;=Inputs!$B$17</f>
        <v>1</v>
      </c>
      <c r="C314" s="25" t="n">
        <f aca="false">C313*(1-Inputs!$B$22*(0.9^(A314-2)))</f>
        <v>0.276</v>
      </c>
      <c r="D314" s="26" t="n">
        <f aca="false">IF(B314,C314*(VLOOKUP("50m",Inputs!$A$29:$K$33,3,FALSE())*(Inputs!$B$25/14)*Inputs!$B$5+VLOOKUP("50m",Inputs!$A$29:$K$33,4,FALSE())*(Inputs!$B$25/14)*Inputs!$B$12+VLOOKUP("50m",Inputs!$A$29:$K$33,5,FALSE())*(Inputs!$B$25/14)*Inputs!$B$13)+(1-C314)*(VLOOKUP("50m",Inputs!$A$29:$K$33,6,FALSE())*(Inputs!$B$25/14)*Inputs!$B$5+VLOOKUP("50m",Inputs!$A$29:$K$33,7,FALSE())*(Inputs!$B$25/14)*Inputs!$B$12+VLOOKUP("50m",Inputs!$A$29:$K$33,8,FALSE())*(Inputs!$B$25/14)*Inputs!$B$13),C314*((VLOOKUP("50m",Inputs!$A$29:$K$33,3,FALSE())*(Inputs!$B$25/14)*Inputs!$B$5+VLOOKUP("50m",Inputs!$A$29:$K$33,4,FALSE())*(Inputs!$B$25/14)*Inputs!$B$12+VLOOKUP("50m",Inputs!$A$29:$K$33,5,FALSE())*(Inputs!$B$25/14)*Inputs!$B$13)+Inputs!$B$18)+(1-C314)*((VLOOKUP("50m",Inputs!$A$29:$K$33,9,FALSE())*(Inputs!$B$25/14)*Inputs!$B$5+VLOOKUP("50m",Inputs!$A$29:$K$33,10,FALSE())*(Inputs!$B$25/14)*Inputs!$B$12+VLOOKUP("50m",Inputs!$A$29:$K$33,11,FALSE())*(Inputs!$B$25/14)*Inputs!$B$13)))</f>
        <v>276.001235750018</v>
      </c>
      <c r="E314" s="25" t="n">
        <f aca="false">0</f>
        <v>0</v>
      </c>
      <c r="F31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15" customFormat="false" ht="15" hidden="false" customHeight="true" outlineLevel="0" collapsed="false">
      <c r="A315" s="23" t="n">
        <v>3</v>
      </c>
      <c r="B315" s="24" t="b">
        <f aca="false">A315&lt;=Inputs!$B$17</f>
        <v>1</v>
      </c>
      <c r="C315" s="25" t="n">
        <f aca="false">C314*(1-Inputs!$B$22*(0.9^(A315-2)))</f>
        <v>0.198996</v>
      </c>
      <c r="D315" s="26" t="n">
        <f aca="false">IF(B315,C315*(VLOOKUP("50m",Inputs!$A$29:$K$33,3,FALSE())*(Inputs!$B$25/14)*Inputs!$B$5+VLOOKUP("50m",Inputs!$A$29:$K$33,4,FALSE())*(Inputs!$B$25/14)*Inputs!$B$12+VLOOKUP("50m",Inputs!$A$29:$K$33,5,FALSE())*(Inputs!$B$25/14)*Inputs!$B$13)+(1-C315)*(VLOOKUP("50m",Inputs!$A$29:$K$33,6,FALSE())*(Inputs!$B$25/14)*Inputs!$B$5+VLOOKUP("50m",Inputs!$A$29:$K$33,7,FALSE())*(Inputs!$B$25/14)*Inputs!$B$12+VLOOKUP("50m",Inputs!$A$29:$K$33,8,FALSE())*(Inputs!$B$25/14)*Inputs!$B$13),C315*((VLOOKUP("50m",Inputs!$A$29:$K$33,3,FALSE())*(Inputs!$B$25/14)*Inputs!$B$5+VLOOKUP("50m",Inputs!$A$29:$K$33,4,FALSE())*(Inputs!$B$25/14)*Inputs!$B$12+VLOOKUP("50m",Inputs!$A$29:$K$33,5,FALSE())*(Inputs!$B$25/14)*Inputs!$B$13)+Inputs!$B$18)+(1-C315)*((VLOOKUP("50m",Inputs!$A$29:$K$33,9,FALSE())*(Inputs!$B$25/14)*Inputs!$B$5+VLOOKUP("50m",Inputs!$A$29:$K$33,10,FALSE())*(Inputs!$B$25/14)*Inputs!$B$12+VLOOKUP("50m",Inputs!$A$29:$K$33,11,FALSE())*(Inputs!$B$25/14)*Inputs!$B$13)))</f>
        <v>290.396155950205</v>
      </c>
      <c r="E315" s="25" t="n">
        <f aca="false">0</f>
        <v>0</v>
      </c>
      <c r="F31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16" customFormat="false" ht="15" hidden="false" customHeight="true" outlineLevel="0" collapsed="false">
      <c r="A316" s="23" t="n">
        <v>4</v>
      </c>
      <c r="B316" s="24" t="b">
        <f aca="false">A316&lt;=Inputs!$B$17</f>
        <v>0</v>
      </c>
      <c r="C316" s="25" t="n">
        <f aca="false">C315*(1-Inputs!$B$22*(0.9^(A316-2)))</f>
        <v>0.1490281044</v>
      </c>
      <c r="D316" s="26" t="n">
        <f aca="false">IF(B316,C316*(VLOOKUP("50m",Inputs!$A$29:$K$33,3,FALSE())*(Inputs!$B$25/14)*Inputs!$B$5+VLOOKUP("50m",Inputs!$A$29:$K$33,4,FALSE())*(Inputs!$B$25/14)*Inputs!$B$12+VLOOKUP("50m",Inputs!$A$29:$K$33,5,FALSE())*(Inputs!$B$25/14)*Inputs!$B$13)+(1-C316)*(VLOOKUP("50m",Inputs!$A$29:$K$33,6,FALSE())*(Inputs!$B$25/14)*Inputs!$B$5+VLOOKUP("50m",Inputs!$A$29:$K$33,7,FALSE())*(Inputs!$B$25/14)*Inputs!$B$12+VLOOKUP("50m",Inputs!$A$29:$K$33,8,FALSE())*(Inputs!$B$25/14)*Inputs!$B$13),C316*((VLOOKUP("50m",Inputs!$A$29:$K$33,3,FALSE())*(Inputs!$B$25/14)*Inputs!$B$5+VLOOKUP("50m",Inputs!$A$29:$K$33,4,FALSE())*(Inputs!$B$25/14)*Inputs!$B$12+VLOOKUP("50m",Inputs!$A$29:$K$33,5,FALSE())*(Inputs!$B$25/14)*Inputs!$B$13)+Inputs!$B$18)+(1-C316)*((VLOOKUP("50m",Inputs!$A$29:$K$33,9,FALSE())*(Inputs!$B$25/14)*Inputs!$B$5+VLOOKUP("50m",Inputs!$A$29:$K$33,10,FALSE())*(Inputs!$B$25/14)*Inputs!$B$12+VLOOKUP("50m",Inputs!$A$29:$K$33,11,FALSE())*(Inputs!$B$25/14)*Inputs!$B$13)))</f>
        <v>330.784541418106</v>
      </c>
      <c r="E316" s="25" t="n">
        <f aca="false">0</f>
        <v>0</v>
      </c>
      <c r="F31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17" customFormat="false" ht="15" hidden="false" customHeight="true" outlineLevel="0" collapsed="false">
      <c r="A317" s="23" t="n">
        <v>5</v>
      </c>
      <c r="B317" s="24" t="b">
        <f aca="false">A317&lt;=Inputs!$B$17</f>
        <v>0</v>
      </c>
      <c r="C317" s="25" t="n">
        <f aca="false">C316*(1-Inputs!$B$22*(0.9^(A317-2)))</f>
        <v>0.115349243086644</v>
      </c>
      <c r="D317" s="26" t="n">
        <f aca="false">IF(B317,C317*(VLOOKUP("50m",Inputs!$A$29:$K$33,3,FALSE())*(Inputs!$B$25/14)*Inputs!$B$5+VLOOKUP("50m",Inputs!$A$29:$K$33,4,FALSE())*(Inputs!$B$25/14)*Inputs!$B$12+VLOOKUP("50m",Inputs!$A$29:$K$33,5,FALSE())*(Inputs!$B$25/14)*Inputs!$B$13)+(1-C317)*(VLOOKUP("50m",Inputs!$A$29:$K$33,6,FALSE())*(Inputs!$B$25/14)*Inputs!$B$5+VLOOKUP("50m",Inputs!$A$29:$K$33,7,FALSE())*(Inputs!$B$25/14)*Inputs!$B$12+VLOOKUP("50m",Inputs!$A$29:$K$33,8,FALSE())*(Inputs!$B$25/14)*Inputs!$B$13),C317*((VLOOKUP("50m",Inputs!$A$29:$K$33,3,FALSE())*(Inputs!$B$25/14)*Inputs!$B$5+VLOOKUP("50m",Inputs!$A$29:$K$33,4,FALSE())*(Inputs!$B$25/14)*Inputs!$B$12+VLOOKUP("50m",Inputs!$A$29:$K$33,5,FALSE())*(Inputs!$B$25/14)*Inputs!$B$13)+Inputs!$B$18)+(1-C317)*((VLOOKUP("50m",Inputs!$A$29:$K$33,9,FALSE())*(Inputs!$B$25/14)*Inputs!$B$5+VLOOKUP("50m",Inputs!$A$29:$K$33,10,FALSE())*(Inputs!$B$25/14)*Inputs!$B$12+VLOOKUP("50m",Inputs!$A$29:$K$33,11,FALSE())*(Inputs!$B$25/14)*Inputs!$B$13)))</f>
        <v>330.063947532326</v>
      </c>
      <c r="E317" s="25" t="n">
        <f aca="false">0</f>
        <v>0</v>
      </c>
      <c r="F31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18" customFormat="false" ht="15" hidden="false" customHeight="true" outlineLevel="0" collapsed="false">
      <c r="A318" s="23" t="n">
        <v>6</v>
      </c>
      <c r="B318" s="24" t="b">
        <f aca="false">A318&lt;=Inputs!$B$17</f>
        <v>0</v>
      </c>
      <c r="C318" s="25" t="n">
        <f aca="false">C317*(1-Inputs!$B$22*(0.9^(A318-2)))</f>
        <v>0.0918882451860084</v>
      </c>
      <c r="D318" s="26" t="n">
        <f aca="false">IF(B318,C318*(VLOOKUP("50m",Inputs!$A$29:$K$33,3,FALSE())*(Inputs!$B$25/14)*Inputs!$B$5+VLOOKUP("50m",Inputs!$A$29:$K$33,4,FALSE())*(Inputs!$B$25/14)*Inputs!$B$12+VLOOKUP("50m",Inputs!$A$29:$K$33,5,FALSE())*(Inputs!$B$25/14)*Inputs!$B$13)+(1-C318)*(VLOOKUP("50m",Inputs!$A$29:$K$33,6,FALSE())*(Inputs!$B$25/14)*Inputs!$B$5+VLOOKUP("50m",Inputs!$A$29:$K$33,7,FALSE())*(Inputs!$B$25/14)*Inputs!$B$12+VLOOKUP("50m",Inputs!$A$29:$K$33,8,FALSE())*(Inputs!$B$25/14)*Inputs!$B$13),C318*((VLOOKUP("50m",Inputs!$A$29:$K$33,3,FALSE())*(Inputs!$B$25/14)*Inputs!$B$5+VLOOKUP("50m",Inputs!$A$29:$K$33,4,FALSE())*(Inputs!$B$25/14)*Inputs!$B$12+VLOOKUP("50m",Inputs!$A$29:$K$33,5,FALSE())*(Inputs!$B$25/14)*Inputs!$B$13)+Inputs!$B$18)+(1-C318)*((VLOOKUP("50m",Inputs!$A$29:$K$33,9,FALSE())*(Inputs!$B$25/14)*Inputs!$B$5+VLOOKUP("50m",Inputs!$A$29:$K$33,10,FALSE())*(Inputs!$B$25/14)*Inputs!$B$12+VLOOKUP("50m",Inputs!$A$29:$K$33,11,FALSE())*(Inputs!$B$25/14)*Inputs!$B$13)))</f>
        <v>329.561975346147</v>
      </c>
      <c r="E318" s="25" t="n">
        <f aca="false">0</f>
        <v>0</v>
      </c>
      <c r="F31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19" customFormat="false" ht="15" hidden="false" customHeight="true" outlineLevel="0" collapsed="false">
      <c r="A319" s="23" t="n">
        <v>7</v>
      </c>
      <c r="B319" s="24" t="b">
        <f aca="false">A319&lt;=Inputs!$B$17</f>
        <v>0</v>
      </c>
      <c r="C319" s="25" t="n">
        <f aca="false">C318*(1-Inputs!$B$22*(0.9^(A319-2)))</f>
        <v>0.0750679273170437</v>
      </c>
      <c r="D319" s="26" t="n">
        <f aca="false">IF(B319,C319*(VLOOKUP("50m",Inputs!$A$29:$K$33,3,FALSE())*(Inputs!$B$25/14)*Inputs!$B$5+VLOOKUP("50m",Inputs!$A$29:$K$33,4,FALSE())*(Inputs!$B$25/14)*Inputs!$B$12+VLOOKUP("50m",Inputs!$A$29:$K$33,5,FALSE())*(Inputs!$B$25/14)*Inputs!$B$13)+(1-C319)*(VLOOKUP("50m",Inputs!$A$29:$K$33,6,FALSE())*(Inputs!$B$25/14)*Inputs!$B$5+VLOOKUP("50m",Inputs!$A$29:$K$33,7,FALSE())*(Inputs!$B$25/14)*Inputs!$B$12+VLOOKUP("50m",Inputs!$A$29:$K$33,8,FALSE())*(Inputs!$B$25/14)*Inputs!$B$13),C319*((VLOOKUP("50m",Inputs!$A$29:$K$33,3,FALSE())*(Inputs!$B$25/14)*Inputs!$B$5+VLOOKUP("50m",Inputs!$A$29:$K$33,4,FALSE())*(Inputs!$B$25/14)*Inputs!$B$12+VLOOKUP("50m",Inputs!$A$29:$K$33,5,FALSE())*(Inputs!$B$25/14)*Inputs!$B$13)+Inputs!$B$18)+(1-C319)*((VLOOKUP("50m",Inputs!$A$29:$K$33,9,FALSE())*(Inputs!$B$25/14)*Inputs!$B$5+VLOOKUP("50m",Inputs!$A$29:$K$33,10,FALSE())*(Inputs!$B$25/14)*Inputs!$B$12+VLOOKUP("50m",Inputs!$A$29:$K$33,11,FALSE())*(Inputs!$B$25/14)*Inputs!$B$13)))</f>
        <v>329.202087341013</v>
      </c>
      <c r="E319" s="25" t="n">
        <f aca="false">0</f>
        <v>0</v>
      </c>
      <c r="F31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20" customFormat="false" ht="15" hidden="false" customHeight="true" outlineLevel="0" collapsed="false">
      <c r="A320" s="23" t="n">
        <v>8</v>
      </c>
      <c r="B320" s="24" t="b">
        <f aca="false">A320&lt;=Inputs!$B$17</f>
        <v>0</v>
      </c>
      <c r="C320" s="25" t="n">
        <f aca="false">C319*(1-Inputs!$B$22*(0.9^(A320-2)))</f>
        <v>0.0627007332650416</v>
      </c>
      <c r="D320" s="26" t="n">
        <f aca="false">IF(B320,C320*(VLOOKUP("50m",Inputs!$A$29:$K$33,3,FALSE())*(Inputs!$B$25/14)*Inputs!$B$5+VLOOKUP("50m",Inputs!$A$29:$K$33,4,FALSE())*(Inputs!$B$25/14)*Inputs!$B$12+VLOOKUP("50m",Inputs!$A$29:$K$33,5,FALSE())*(Inputs!$B$25/14)*Inputs!$B$13)+(1-C320)*(VLOOKUP("50m",Inputs!$A$29:$K$33,6,FALSE())*(Inputs!$B$25/14)*Inputs!$B$5+VLOOKUP("50m",Inputs!$A$29:$K$33,7,FALSE())*(Inputs!$B$25/14)*Inputs!$B$12+VLOOKUP("50m",Inputs!$A$29:$K$33,8,FALSE())*(Inputs!$B$25/14)*Inputs!$B$13),C320*((VLOOKUP("50m",Inputs!$A$29:$K$33,3,FALSE())*(Inputs!$B$25/14)*Inputs!$B$5+VLOOKUP("50m",Inputs!$A$29:$K$33,4,FALSE())*(Inputs!$B$25/14)*Inputs!$B$12+VLOOKUP("50m",Inputs!$A$29:$K$33,5,FALSE())*(Inputs!$B$25/14)*Inputs!$B$13)+Inputs!$B$18)+(1-C320)*((VLOOKUP("50m",Inputs!$A$29:$K$33,9,FALSE())*(Inputs!$B$25/14)*Inputs!$B$5+VLOOKUP("50m",Inputs!$A$29:$K$33,10,FALSE())*(Inputs!$B$25/14)*Inputs!$B$12+VLOOKUP("50m",Inputs!$A$29:$K$33,11,FALSE())*(Inputs!$B$25/14)*Inputs!$B$13)))</f>
        <v>328.937478501207</v>
      </c>
      <c r="E320" s="25" t="n">
        <f aca="false">0</f>
        <v>0</v>
      </c>
      <c r="F32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21" customFormat="false" ht="15" hidden="false" customHeight="true" outlineLevel="0" collapsed="false">
      <c r="A321" s="23" t="n">
        <v>9</v>
      </c>
      <c r="B321" s="24" t="b">
        <f aca="false">A321&lt;=Inputs!$B$17</f>
        <v>0</v>
      </c>
      <c r="C321" s="25" t="n">
        <f aca="false">C320*(1-Inputs!$B$22*(0.9^(A321-2)))</f>
        <v>0.0534039676970388</v>
      </c>
      <c r="D321" s="26" t="n">
        <f aca="false">IF(B321,C321*(VLOOKUP("50m",Inputs!$A$29:$K$33,3,FALSE())*(Inputs!$B$25/14)*Inputs!$B$5+VLOOKUP("50m",Inputs!$A$29:$K$33,4,FALSE())*(Inputs!$B$25/14)*Inputs!$B$12+VLOOKUP("50m",Inputs!$A$29:$K$33,5,FALSE())*(Inputs!$B$25/14)*Inputs!$B$13)+(1-C321)*(VLOOKUP("50m",Inputs!$A$29:$K$33,6,FALSE())*(Inputs!$B$25/14)*Inputs!$B$5+VLOOKUP("50m",Inputs!$A$29:$K$33,7,FALSE())*(Inputs!$B$25/14)*Inputs!$B$12+VLOOKUP("50m",Inputs!$A$29:$K$33,8,FALSE())*(Inputs!$B$25/14)*Inputs!$B$13),C321*((VLOOKUP("50m",Inputs!$A$29:$K$33,3,FALSE())*(Inputs!$B$25/14)*Inputs!$B$5+VLOOKUP("50m",Inputs!$A$29:$K$33,4,FALSE())*(Inputs!$B$25/14)*Inputs!$B$12+VLOOKUP("50m",Inputs!$A$29:$K$33,5,FALSE())*(Inputs!$B$25/14)*Inputs!$B$13)+Inputs!$B$18)+(1-C321)*((VLOOKUP("50m",Inputs!$A$29:$K$33,9,FALSE())*(Inputs!$B$25/14)*Inputs!$B$5+VLOOKUP("50m",Inputs!$A$29:$K$33,10,FALSE())*(Inputs!$B$25/14)*Inputs!$B$12+VLOOKUP("50m",Inputs!$A$29:$K$33,11,FALSE())*(Inputs!$B$25/14)*Inputs!$B$13)))</f>
        <v>328.738564637597</v>
      </c>
      <c r="E321" s="25" t="n">
        <f aca="false">0</f>
        <v>0</v>
      </c>
      <c r="F32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22" customFormat="false" ht="15" hidden="false" customHeight="true" outlineLevel="0" collapsed="false">
      <c r="A322" s="23" t="n">
        <v>10</v>
      </c>
      <c r="B322" s="24" t="b">
        <f aca="false">A322&lt;=Inputs!$B$17</f>
        <v>0</v>
      </c>
      <c r="C322" s="25" t="n">
        <f aca="false">C321*(1-Inputs!$B$22*(0.9^(A322-2)))</f>
        <v>0.0462774840340217</v>
      </c>
      <c r="D322" s="26" t="n">
        <f aca="false">IF(B322,C322*(VLOOKUP("50m",Inputs!$A$29:$K$33,3,FALSE())*(Inputs!$B$25/14)*Inputs!$B$5+VLOOKUP("50m",Inputs!$A$29:$K$33,4,FALSE())*(Inputs!$B$25/14)*Inputs!$B$12+VLOOKUP("50m",Inputs!$A$29:$K$33,5,FALSE())*(Inputs!$B$25/14)*Inputs!$B$13)+(1-C322)*(VLOOKUP("50m",Inputs!$A$29:$K$33,6,FALSE())*(Inputs!$B$25/14)*Inputs!$B$5+VLOOKUP("50m",Inputs!$A$29:$K$33,7,FALSE())*(Inputs!$B$25/14)*Inputs!$B$12+VLOOKUP("50m",Inputs!$A$29:$K$33,8,FALSE())*(Inputs!$B$25/14)*Inputs!$B$13),C322*((VLOOKUP("50m",Inputs!$A$29:$K$33,3,FALSE())*(Inputs!$B$25/14)*Inputs!$B$5+VLOOKUP("50m",Inputs!$A$29:$K$33,4,FALSE())*(Inputs!$B$25/14)*Inputs!$B$12+VLOOKUP("50m",Inputs!$A$29:$K$33,5,FALSE())*(Inputs!$B$25/14)*Inputs!$B$13)+Inputs!$B$18)+(1-C322)*((VLOOKUP("50m",Inputs!$A$29:$K$33,9,FALSE())*(Inputs!$B$25/14)*Inputs!$B$5+VLOOKUP("50m",Inputs!$A$29:$K$33,10,FALSE())*(Inputs!$B$25/14)*Inputs!$B$12+VLOOKUP("50m",Inputs!$A$29:$K$33,11,FALSE())*(Inputs!$B$25/14)*Inputs!$B$13)))</f>
        <v>328.586086188076</v>
      </c>
      <c r="E322" s="25" t="n">
        <f aca="false">0</f>
        <v>0</v>
      </c>
      <c r="F32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23" customFormat="false" ht="15" hidden="false" customHeight="true" outlineLevel="0" collapsed="false">
      <c r="A323" s="23" t="n">
        <v>11</v>
      </c>
      <c r="B323" s="24" t="b">
        <f aca="false">A323&lt;=Inputs!$B$17</f>
        <v>0</v>
      </c>
      <c r="C323" s="25" t="n">
        <f aca="false">C322*(1-Inputs!$B$22*(0.9^(A323-2)))</f>
        <v>0.0407195419308351</v>
      </c>
      <c r="D323" s="26" t="n">
        <f aca="false">IF(B323,C323*(VLOOKUP("50m",Inputs!$A$29:$K$33,3,FALSE())*(Inputs!$B$25/14)*Inputs!$B$5+VLOOKUP("50m",Inputs!$A$29:$K$33,4,FALSE())*(Inputs!$B$25/14)*Inputs!$B$12+VLOOKUP("50m",Inputs!$A$29:$K$33,5,FALSE())*(Inputs!$B$25/14)*Inputs!$B$13)+(1-C323)*(VLOOKUP("50m",Inputs!$A$29:$K$33,6,FALSE())*(Inputs!$B$25/14)*Inputs!$B$5+VLOOKUP("50m",Inputs!$A$29:$K$33,7,FALSE())*(Inputs!$B$25/14)*Inputs!$B$12+VLOOKUP("50m",Inputs!$A$29:$K$33,8,FALSE())*(Inputs!$B$25/14)*Inputs!$B$13),C323*((VLOOKUP("50m",Inputs!$A$29:$K$33,3,FALSE())*(Inputs!$B$25/14)*Inputs!$B$5+VLOOKUP("50m",Inputs!$A$29:$K$33,4,FALSE())*(Inputs!$B$25/14)*Inputs!$B$12+VLOOKUP("50m",Inputs!$A$29:$K$33,5,FALSE())*(Inputs!$B$25/14)*Inputs!$B$13)+Inputs!$B$18)+(1-C323)*((VLOOKUP("50m",Inputs!$A$29:$K$33,9,FALSE())*(Inputs!$B$25/14)*Inputs!$B$5+VLOOKUP("50m",Inputs!$A$29:$K$33,10,FALSE())*(Inputs!$B$25/14)*Inputs!$B$12+VLOOKUP("50m",Inputs!$A$29:$K$33,11,FALSE())*(Inputs!$B$25/14)*Inputs!$B$13)))</f>
        <v>328.467168298905</v>
      </c>
      <c r="E323" s="25" t="n">
        <f aca="false">0</f>
        <v>0</v>
      </c>
      <c r="F32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24" customFormat="false" ht="15" hidden="false" customHeight="true" outlineLevel="0" collapsed="false">
      <c r="A324" s="23" t="n">
        <v>12</v>
      </c>
      <c r="B324" s="24" t="b">
        <f aca="false">A324&lt;=Inputs!$B$17</f>
        <v>0</v>
      </c>
      <c r="C324" s="25" t="n">
        <f aca="false">C323*(1-Inputs!$B$22*(0.9^(A324-2)))</f>
        <v>0.0363181537586057</v>
      </c>
      <c r="D324" s="26" t="n">
        <f aca="false">IF(B324,C324*(VLOOKUP("50m",Inputs!$A$29:$K$33,3,FALSE())*(Inputs!$B$25/14)*Inputs!$B$5+VLOOKUP("50m",Inputs!$A$29:$K$33,4,FALSE())*(Inputs!$B$25/14)*Inputs!$B$12+VLOOKUP("50m",Inputs!$A$29:$K$33,5,FALSE())*(Inputs!$B$25/14)*Inputs!$B$13)+(1-C324)*(VLOOKUP("50m",Inputs!$A$29:$K$33,6,FALSE())*(Inputs!$B$25/14)*Inputs!$B$5+VLOOKUP("50m",Inputs!$A$29:$K$33,7,FALSE())*(Inputs!$B$25/14)*Inputs!$B$12+VLOOKUP("50m",Inputs!$A$29:$K$33,8,FALSE())*(Inputs!$B$25/14)*Inputs!$B$13),C324*((VLOOKUP("50m",Inputs!$A$29:$K$33,3,FALSE())*(Inputs!$B$25/14)*Inputs!$B$5+VLOOKUP("50m",Inputs!$A$29:$K$33,4,FALSE())*(Inputs!$B$25/14)*Inputs!$B$12+VLOOKUP("50m",Inputs!$A$29:$K$33,5,FALSE())*(Inputs!$B$25/14)*Inputs!$B$13)+Inputs!$B$18)+(1-C324)*((VLOOKUP("50m",Inputs!$A$29:$K$33,9,FALSE())*(Inputs!$B$25/14)*Inputs!$B$5+VLOOKUP("50m",Inputs!$A$29:$K$33,10,FALSE())*(Inputs!$B$25/14)*Inputs!$B$12+VLOOKUP("50m",Inputs!$A$29:$K$33,11,FALSE())*(Inputs!$B$25/14)*Inputs!$B$13)))</f>
        <v>328.372996070921</v>
      </c>
      <c r="E324" s="25" t="n">
        <f aca="false">0</f>
        <v>0</v>
      </c>
      <c r="F32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25" customFormat="false" ht="15" hidden="false" customHeight="true" outlineLevel="0" collapsed="false">
      <c r="A325" s="27" t="s">
        <v>125</v>
      </c>
      <c r="D325" s="28" t="n">
        <f aca="false">SUM(D313:D324)</f>
        <v>3781.93324701934</v>
      </c>
      <c r="F325" s="28" t="n">
        <f aca="false">SUM(F313:F324)</f>
        <v>3915.63538541811</v>
      </c>
    </row>
    <row r="327" customFormat="false" ht="15" hidden="false" customHeight="true" outlineLevel="0" collapsed="false">
      <c r="A327" s="27" t="s">
        <v>167</v>
      </c>
    </row>
    <row r="328" customFormat="false" ht="21.75" hidden="false" customHeight="true" outlineLevel="0" collapsed="false">
      <c r="A328" s="43" t="s">
        <v>92</v>
      </c>
      <c r="B328" s="43" t="s">
        <v>145</v>
      </c>
      <c r="C328" s="43" t="s">
        <v>146</v>
      </c>
      <c r="D328" s="43" t="s">
        <v>147</v>
      </c>
      <c r="E328" s="43" t="s">
        <v>148</v>
      </c>
      <c r="F328" s="43" t="s">
        <v>149</v>
      </c>
    </row>
    <row r="329" customFormat="false" ht="15" hidden="false" customHeight="true" outlineLevel="0" collapsed="false">
      <c r="A329" s="23" t="n">
        <v>1</v>
      </c>
      <c r="B329" s="24" t="b">
        <f aca="false">A329&lt;=Inputs!$B$17</f>
        <v>1</v>
      </c>
      <c r="C329" s="25" t="n">
        <f aca="false">VLOOKUP("50",Inputs!$A$29:$K$33,2,FALSE())</f>
        <v>0.4</v>
      </c>
      <c r="D329" s="26" t="n">
        <f aca="false">IF(B329,C329*(VLOOKUP("50",Inputs!$A$29:$K$33,3,FALSE())*(Inputs!$B$25/14)*Inputs!$B$5+VLOOKUP("50",Inputs!$A$29:$K$33,4,FALSE())*(Inputs!$B$25/14)*Inputs!$B$12+VLOOKUP("50",Inputs!$A$29:$K$33,5,FALSE())*(Inputs!$B$25/14)*Inputs!$B$13)+(1-C329)*(VLOOKUP("50",Inputs!$A$29:$K$33,6,FALSE())*(Inputs!$B$25/14)*Inputs!$B$5+VLOOKUP("50",Inputs!$A$29:$K$33,7,FALSE())*(Inputs!$B$25/14)*Inputs!$B$12+VLOOKUP("50",Inputs!$A$29:$K$33,8,FALSE())*(Inputs!$B$25/14)*Inputs!$B$13),C329*((VLOOKUP("50",Inputs!$A$29:$K$33,3,FALSE())*(Inputs!$B$25/14)*Inputs!$B$5+VLOOKUP("50",Inputs!$A$29:$K$33,4,FALSE())*(Inputs!$B$25/14)*Inputs!$B$12+VLOOKUP("50",Inputs!$A$29:$K$33,5,FALSE())*(Inputs!$B$25/14)*Inputs!$B$13)+Inputs!$B$18)+(1-C329)*((INDEX(Inputs!$A$37:$C$37,1,1)*(Inputs!$B$25/14)*Inputs!$B$5+INDEX(Inputs!$A$37:$C$37,1,2)*(Inputs!$B$25/14)*Inputs!$B$12+INDEX(Inputs!$A$37:$C$37,1,3)*(Inputs!$B$25/14)*Inputs!$B$13)))</f>
        <v>170.045006016964</v>
      </c>
      <c r="E329" s="25" t="n">
        <f aca="false">Inputs!$B$21</f>
        <v>0.083</v>
      </c>
      <c r="F329" s="26" t="n">
        <f aca="false">E329*(VLOOKUP("50",Inputs!$A$29:$K$33,3,FALSE())*(Inputs!$B$25/14)*Inputs!$B$5+VLOOKUP("50",Inputs!$A$29:$K$33,4,FALSE())*(Inputs!$B$25/14)*Inputs!$B$12+VLOOKUP("50",Inputs!$A$29:$K$33,5,FALSE())*(Inputs!$B$25/14)*Inputs!$B$13)+(1-E329)*(INDEX(Inputs!$A$37:$C$37,1,1)*(Inputs!$B$25/14)*Inputs!$B$5+INDEX(Inputs!$A$37:$C$37,1,2)*(Inputs!$B$25/14)*Inputs!$B$12+INDEX(Inputs!$A$37:$C$37,1,3)*(Inputs!$B$25/14)*Inputs!$B$13)</f>
        <v>309.48128772567</v>
      </c>
    </row>
    <row r="330" customFormat="false" ht="15" hidden="false" customHeight="true" outlineLevel="0" collapsed="false">
      <c r="A330" s="23" t="n">
        <v>2</v>
      </c>
      <c r="B330" s="24" t="b">
        <f aca="false">A330&lt;=Inputs!$B$17</f>
        <v>1</v>
      </c>
      <c r="C330" s="25" t="n">
        <f aca="false">IF(A330=2,C329*(1-Inputs!$B$22),C329)</f>
        <v>0.276</v>
      </c>
      <c r="D330" s="26" t="n">
        <f aca="false">IF(B330,C330*(VLOOKUP("50",Inputs!$A$29:$K$33,3,FALSE())*(Inputs!$B$25/14)*Inputs!$B$5+VLOOKUP("50",Inputs!$A$29:$K$33,4,FALSE())*(Inputs!$B$25/14)*Inputs!$B$12+VLOOKUP("50",Inputs!$A$29:$K$33,5,FALSE())*(Inputs!$B$25/14)*Inputs!$B$13)+(1-C330)*(VLOOKUP("50",Inputs!$A$29:$K$33,6,FALSE())*(Inputs!$B$25/14)*Inputs!$B$5+VLOOKUP("50",Inputs!$A$29:$K$33,7,FALSE())*(Inputs!$B$25/14)*Inputs!$B$12+VLOOKUP("50",Inputs!$A$29:$K$33,8,FALSE())*(Inputs!$B$25/14)*Inputs!$B$13),C330*((VLOOKUP("50",Inputs!$A$29:$K$33,3,FALSE())*(Inputs!$B$25/14)*Inputs!$B$5+VLOOKUP("50",Inputs!$A$29:$K$33,4,FALSE())*(Inputs!$B$25/14)*Inputs!$B$12+VLOOKUP("50",Inputs!$A$29:$K$33,5,FALSE())*(Inputs!$B$25/14)*Inputs!$B$13)+Inputs!$B$18)+(1-C330)*((INDEX(Inputs!$A$37:$C$37,1,1)*(Inputs!$B$25/14)*Inputs!$B$5+INDEX(Inputs!$A$37:$C$37,1,2)*(Inputs!$B$25/14)*Inputs!$B$12+INDEX(Inputs!$A$37:$C$37,1,3)*(Inputs!$B$25/14)*Inputs!$B$13)))</f>
        <v>182.589217622821</v>
      </c>
      <c r="E330" s="25" t="n">
        <f aca="false">0</f>
        <v>0</v>
      </c>
      <c r="F33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1" customFormat="false" ht="15" hidden="false" customHeight="true" outlineLevel="0" collapsed="false">
      <c r="A331" s="23" t="n">
        <v>3</v>
      </c>
      <c r="B331" s="24" t="b">
        <f aca="false">A331&lt;=Inputs!$B$17</f>
        <v>1</v>
      </c>
      <c r="C331" s="25" t="n">
        <f aca="false">IF(A331=2,C330*(1-Inputs!$B$22),C330)</f>
        <v>0.276</v>
      </c>
      <c r="D331" s="26" t="n">
        <f aca="false">IF(B331,C331*(VLOOKUP("50",Inputs!$A$29:$K$33,3,FALSE())*(Inputs!$B$25/14)*Inputs!$B$5+VLOOKUP("50",Inputs!$A$29:$K$33,4,FALSE())*(Inputs!$B$25/14)*Inputs!$B$12+VLOOKUP("50",Inputs!$A$29:$K$33,5,FALSE())*(Inputs!$B$25/14)*Inputs!$B$13)+(1-C331)*(VLOOKUP("50",Inputs!$A$29:$K$33,6,FALSE())*(Inputs!$B$25/14)*Inputs!$B$5+VLOOKUP("50",Inputs!$A$29:$K$33,7,FALSE())*(Inputs!$B$25/14)*Inputs!$B$12+VLOOKUP("50",Inputs!$A$29:$K$33,8,FALSE())*(Inputs!$B$25/14)*Inputs!$B$13),C331*((VLOOKUP("50",Inputs!$A$29:$K$33,3,FALSE())*(Inputs!$B$25/14)*Inputs!$B$5+VLOOKUP("50",Inputs!$A$29:$K$33,4,FALSE())*(Inputs!$B$25/14)*Inputs!$B$12+VLOOKUP("50",Inputs!$A$29:$K$33,5,FALSE())*(Inputs!$B$25/14)*Inputs!$B$13)+Inputs!$B$18)+(1-C331)*((INDEX(Inputs!$A$37:$C$37,1,1)*(Inputs!$B$25/14)*Inputs!$B$5+INDEX(Inputs!$A$37:$C$37,1,2)*(Inputs!$B$25/14)*Inputs!$B$12+INDEX(Inputs!$A$37:$C$37,1,3)*(Inputs!$B$25/14)*Inputs!$B$13)))</f>
        <v>182.589217622821</v>
      </c>
      <c r="E331" s="25" t="n">
        <f aca="false">0</f>
        <v>0</v>
      </c>
      <c r="F33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2" customFormat="false" ht="15" hidden="false" customHeight="true" outlineLevel="0" collapsed="false">
      <c r="A332" s="23" t="n">
        <v>4</v>
      </c>
      <c r="B332" s="24" t="b">
        <f aca="false">A332&lt;=Inputs!$B$17</f>
        <v>0</v>
      </c>
      <c r="C332" s="25" t="n">
        <f aca="false">IF(A332=2,C331*(1-Inputs!$B$22),C331)</f>
        <v>0.276</v>
      </c>
      <c r="D332" s="26" t="n">
        <f aca="false">IF(B332,C332*(VLOOKUP("50",Inputs!$A$29:$K$33,3,FALSE())*(Inputs!$B$25/14)*Inputs!$B$5+VLOOKUP("50",Inputs!$A$29:$K$33,4,FALSE())*(Inputs!$B$25/14)*Inputs!$B$12+VLOOKUP("50",Inputs!$A$29:$K$33,5,FALSE())*(Inputs!$B$25/14)*Inputs!$B$13)+(1-C332)*(VLOOKUP("50",Inputs!$A$29:$K$33,6,FALSE())*(Inputs!$B$25/14)*Inputs!$B$5+VLOOKUP("50",Inputs!$A$29:$K$33,7,FALSE())*(Inputs!$B$25/14)*Inputs!$B$12+VLOOKUP("50",Inputs!$A$29:$K$33,8,FALSE())*(Inputs!$B$25/14)*Inputs!$B$13),C332*((VLOOKUP("50",Inputs!$A$29:$K$33,3,FALSE())*(Inputs!$B$25/14)*Inputs!$B$5+VLOOKUP("50",Inputs!$A$29:$K$33,4,FALSE())*(Inputs!$B$25/14)*Inputs!$B$12+VLOOKUP("50",Inputs!$A$29:$K$33,5,FALSE())*(Inputs!$B$25/14)*Inputs!$B$13)+Inputs!$B$18)+(1-C332)*((INDEX(Inputs!$A$37:$C$37,1,1)*(Inputs!$B$25/14)*Inputs!$B$5+INDEX(Inputs!$A$37:$C$37,1,2)*(Inputs!$B$25/14)*Inputs!$B$12+INDEX(Inputs!$A$37:$C$37,1,3)*(Inputs!$B$25/14)*Inputs!$B$13)))</f>
        <v>324.859284016071</v>
      </c>
      <c r="E332" s="25" t="n">
        <f aca="false">0</f>
        <v>0</v>
      </c>
      <c r="F33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3" customFormat="false" ht="15" hidden="false" customHeight="true" outlineLevel="0" collapsed="false">
      <c r="A333" s="23" t="n">
        <v>5</v>
      </c>
      <c r="B333" s="24" t="b">
        <f aca="false">A333&lt;=Inputs!$B$17</f>
        <v>0</v>
      </c>
      <c r="C333" s="25" t="n">
        <f aca="false">IF(A333=2,C332*(1-Inputs!$B$22),C332)</f>
        <v>0.276</v>
      </c>
      <c r="D333" s="26" t="n">
        <f aca="false">IF(B333,C333*(VLOOKUP("50",Inputs!$A$29:$K$33,3,FALSE())*(Inputs!$B$25/14)*Inputs!$B$5+VLOOKUP("50",Inputs!$A$29:$K$33,4,FALSE())*(Inputs!$B$25/14)*Inputs!$B$12+VLOOKUP("50",Inputs!$A$29:$K$33,5,FALSE())*(Inputs!$B$25/14)*Inputs!$B$13)+(1-C333)*(VLOOKUP("50",Inputs!$A$29:$K$33,6,FALSE())*(Inputs!$B$25/14)*Inputs!$B$5+VLOOKUP("50",Inputs!$A$29:$K$33,7,FALSE())*(Inputs!$B$25/14)*Inputs!$B$12+VLOOKUP("50",Inputs!$A$29:$K$33,8,FALSE())*(Inputs!$B$25/14)*Inputs!$B$13),C333*((VLOOKUP("50",Inputs!$A$29:$K$33,3,FALSE())*(Inputs!$B$25/14)*Inputs!$B$5+VLOOKUP("50",Inputs!$A$29:$K$33,4,FALSE())*(Inputs!$B$25/14)*Inputs!$B$12+VLOOKUP("50",Inputs!$A$29:$K$33,5,FALSE())*(Inputs!$B$25/14)*Inputs!$B$13)+Inputs!$B$18)+(1-C333)*((INDEX(Inputs!$A$37:$C$37,1,1)*(Inputs!$B$25/14)*Inputs!$B$5+INDEX(Inputs!$A$37:$C$37,1,2)*(Inputs!$B$25/14)*Inputs!$B$12+INDEX(Inputs!$A$37:$C$37,1,3)*(Inputs!$B$25/14)*Inputs!$B$13)))</f>
        <v>324.859284016071</v>
      </c>
      <c r="E333" s="25" t="n">
        <f aca="false">0</f>
        <v>0</v>
      </c>
      <c r="F33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4" customFormat="false" ht="15" hidden="false" customHeight="true" outlineLevel="0" collapsed="false">
      <c r="A334" s="23" t="n">
        <v>6</v>
      </c>
      <c r="B334" s="24" t="b">
        <f aca="false">A334&lt;=Inputs!$B$17</f>
        <v>0</v>
      </c>
      <c r="C334" s="25" t="n">
        <f aca="false">IF(A334=2,C333*(1-Inputs!$B$22),C333)</f>
        <v>0.276</v>
      </c>
      <c r="D334" s="26" t="n">
        <f aca="false">IF(B334,C334*(VLOOKUP("50",Inputs!$A$29:$K$33,3,FALSE())*(Inputs!$B$25/14)*Inputs!$B$5+VLOOKUP("50",Inputs!$A$29:$K$33,4,FALSE())*(Inputs!$B$25/14)*Inputs!$B$12+VLOOKUP("50",Inputs!$A$29:$K$33,5,FALSE())*(Inputs!$B$25/14)*Inputs!$B$13)+(1-C334)*(VLOOKUP("50",Inputs!$A$29:$K$33,6,FALSE())*(Inputs!$B$25/14)*Inputs!$B$5+VLOOKUP("50",Inputs!$A$29:$K$33,7,FALSE())*(Inputs!$B$25/14)*Inputs!$B$12+VLOOKUP("50",Inputs!$A$29:$K$33,8,FALSE())*(Inputs!$B$25/14)*Inputs!$B$13),C334*((VLOOKUP("50",Inputs!$A$29:$K$33,3,FALSE())*(Inputs!$B$25/14)*Inputs!$B$5+VLOOKUP("50",Inputs!$A$29:$K$33,4,FALSE())*(Inputs!$B$25/14)*Inputs!$B$12+VLOOKUP("50",Inputs!$A$29:$K$33,5,FALSE())*(Inputs!$B$25/14)*Inputs!$B$13)+Inputs!$B$18)+(1-C334)*((INDEX(Inputs!$A$37:$C$37,1,1)*(Inputs!$B$25/14)*Inputs!$B$5+INDEX(Inputs!$A$37:$C$37,1,2)*(Inputs!$B$25/14)*Inputs!$B$12+INDEX(Inputs!$A$37:$C$37,1,3)*(Inputs!$B$25/14)*Inputs!$B$13)))</f>
        <v>324.859284016071</v>
      </c>
      <c r="E334" s="25" t="n">
        <f aca="false">0</f>
        <v>0</v>
      </c>
      <c r="F33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5" customFormat="false" ht="15" hidden="false" customHeight="true" outlineLevel="0" collapsed="false">
      <c r="A335" s="23" t="n">
        <v>7</v>
      </c>
      <c r="B335" s="24" t="b">
        <f aca="false">A335&lt;=Inputs!$B$17</f>
        <v>0</v>
      </c>
      <c r="C335" s="25" t="n">
        <f aca="false">IF(A335=2,C334*(1-Inputs!$B$22),C334)</f>
        <v>0.276</v>
      </c>
      <c r="D335" s="26" t="n">
        <f aca="false">IF(B335,C335*(VLOOKUP("50",Inputs!$A$29:$K$33,3,FALSE())*(Inputs!$B$25/14)*Inputs!$B$5+VLOOKUP("50",Inputs!$A$29:$K$33,4,FALSE())*(Inputs!$B$25/14)*Inputs!$B$12+VLOOKUP("50",Inputs!$A$29:$K$33,5,FALSE())*(Inputs!$B$25/14)*Inputs!$B$13)+(1-C335)*(VLOOKUP("50",Inputs!$A$29:$K$33,6,FALSE())*(Inputs!$B$25/14)*Inputs!$B$5+VLOOKUP("50",Inputs!$A$29:$K$33,7,FALSE())*(Inputs!$B$25/14)*Inputs!$B$12+VLOOKUP("50",Inputs!$A$29:$K$33,8,FALSE())*(Inputs!$B$25/14)*Inputs!$B$13),C335*((VLOOKUP("50",Inputs!$A$29:$K$33,3,FALSE())*(Inputs!$B$25/14)*Inputs!$B$5+VLOOKUP("50",Inputs!$A$29:$K$33,4,FALSE())*(Inputs!$B$25/14)*Inputs!$B$12+VLOOKUP("50",Inputs!$A$29:$K$33,5,FALSE())*(Inputs!$B$25/14)*Inputs!$B$13)+Inputs!$B$18)+(1-C335)*((INDEX(Inputs!$A$37:$C$37,1,1)*(Inputs!$B$25/14)*Inputs!$B$5+INDEX(Inputs!$A$37:$C$37,1,2)*(Inputs!$B$25/14)*Inputs!$B$12+INDEX(Inputs!$A$37:$C$37,1,3)*(Inputs!$B$25/14)*Inputs!$B$13)))</f>
        <v>324.859284016071</v>
      </c>
      <c r="E335" s="25" t="n">
        <f aca="false">0</f>
        <v>0</v>
      </c>
      <c r="F33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6" customFormat="false" ht="15" hidden="false" customHeight="true" outlineLevel="0" collapsed="false">
      <c r="A336" s="23" t="n">
        <v>8</v>
      </c>
      <c r="B336" s="24" t="b">
        <f aca="false">A336&lt;=Inputs!$B$17</f>
        <v>0</v>
      </c>
      <c r="C336" s="25" t="n">
        <f aca="false">IF(A336=2,C335*(1-Inputs!$B$22),C335)</f>
        <v>0.276</v>
      </c>
      <c r="D336" s="26" t="n">
        <f aca="false">IF(B336,C336*(VLOOKUP("50",Inputs!$A$29:$K$33,3,FALSE())*(Inputs!$B$25/14)*Inputs!$B$5+VLOOKUP("50",Inputs!$A$29:$K$33,4,FALSE())*(Inputs!$B$25/14)*Inputs!$B$12+VLOOKUP("50",Inputs!$A$29:$K$33,5,FALSE())*(Inputs!$B$25/14)*Inputs!$B$13)+(1-C336)*(VLOOKUP("50",Inputs!$A$29:$K$33,6,FALSE())*(Inputs!$B$25/14)*Inputs!$B$5+VLOOKUP("50",Inputs!$A$29:$K$33,7,FALSE())*(Inputs!$B$25/14)*Inputs!$B$12+VLOOKUP("50",Inputs!$A$29:$K$33,8,FALSE())*(Inputs!$B$25/14)*Inputs!$B$13),C336*((VLOOKUP("50",Inputs!$A$29:$K$33,3,FALSE())*(Inputs!$B$25/14)*Inputs!$B$5+VLOOKUP("50",Inputs!$A$29:$K$33,4,FALSE())*(Inputs!$B$25/14)*Inputs!$B$12+VLOOKUP("50",Inputs!$A$29:$K$33,5,FALSE())*(Inputs!$B$25/14)*Inputs!$B$13)+Inputs!$B$18)+(1-C336)*((INDEX(Inputs!$A$37:$C$37,1,1)*(Inputs!$B$25/14)*Inputs!$B$5+INDEX(Inputs!$A$37:$C$37,1,2)*(Inputs!$B$25/14)*Inputs!$B$12+INDEX(Inputs!$A$37:$C$37,1,3)*(Inputs!$B$25/14)*Inputs!$B$13)))</f>
        <v>324.859284016071</v>
      </c>
      <c r="E336" s="25" t="n">
        <f aca="false">0</f>
        <v>0</v>
      </c>
      <c r="F33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7" customFormat="false" ht="15" hidden="false" customHeight="true" outlineLevel="0" collapsed="false">
      <c r="A337" s="23" t="n">
        <v>9</v>
      </c>
      <c r="B337" s="24" t="b">
        <f aca="false">A337&lt;=Inputs!$B$17</f>
        <v>0</v>
      </c>
      <c r="C337" s="25" t="n">
        <f aca="false">IF(A337=2,C336*(1-Inputs!$B$22),C336)</f>
        <v>0.276</v>
      </c>
      <c r="D337" s="26" t="n">
        <f aca="false">IF(B337,C337*(VLOOKUP("50",Inputs!$A$29:$K$33,3,FALSE())*(Inputs!$B$25/14)*Inputs!$B$5+VLOOKUP("50",Inputs!$A$29:$K$33,4,FALSE())*(Inputs!$B$25/14)*Inputs!$B$12+VLOOKUP("50",Inputs!$A$29:$K$33,5,FALSE())*(Inputs!$B$25/14)*Inputs!$B$13)+(1-C337)*(VLOOKUP("50",Inputs!$A$29:$K$33,6,FALSE())*(Inputs!$B$25/14)*Inputs!$B$5+VLOOKUP("50",Inputs!$A$29:$K$33,7,FALSE())*(Inputs!$B$25/14)*Inputs!$B$12+VLOOKUP("50",Inputs!$A$29:$K$33,8,FALSE())*(Inputs!$B$25/14)*Inputs!$B$13),C337*((VLOOKUP("50",Inputs!$A$29:$K$33,3,FALSE())*(Inputs!$B$25/14)*Inputs!$B$5+VLOOKUP("50",Inputs!$A$29:$K$33,4,FALSE())*(Inputs!$B$25/14)*Inputs!$B$12+VLOOKUP("50",Inputs!$A$29:$K$33,5,FALSE())*(Inputs!$B$25/14)*Inputs!$B$13)+Inputs!$B$18)+(1-C337)*((INDEX(Inputs!$A$37:$C$37,1,1)*(Inputs!$B$25/14)*Inputs!$B$5+INDEX(Inputs!$A$37:$C$37,1,2)*(Inputs!$B$25/14)*Inputs!$B$12+INDEX(Inputs!$A$37:$C$37,1,3)*(Inputs!$B$25/14)*Inputs!$B$13)))</f>
        <v>324.859284016071</v>
      </c>
      <c r="E337" s="25" t="n">
        <f aca="false">0</f>
        <v>0</v>
      </c>
      <c r="F33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8" customFormat="false" ht="15" hidden="false" customHeight="true" outlineLevel="0" collapsed="false">
      <c r="A338" s="23" t="n">
        <v>10</v>
      </c>
      <c r="B338" s="24" t="b">
        <f aca="false">A338&lt;=Inputs!$B$17</f>
        <v>0</v>
      </c>
      <c r="C338" s="25" t="n">
        <f aca="false">IF(A338=2,C337*(1-Inputs!$B$22),C337)</f>
        <v>0.276</v>
      </c>
      <c r="D338" s="26" t="n">
        <f aca="false">IF(B338,C338*(VLOOKUP("50",Inputs!$A$29:$K$33,3,FALSE())*(Inputs!$B$25/14)*Inputs!$B$5+VLOOKUP("50",Inputs!$A$29:$K$33,4,FALSE())*(Inputs!$B$25/14)*Inputs!$B$12+VLOOKUP("50",Inputs!$A$29:$K$33,5,FALSE())*(Inputs!$B$25/14)*Inputs!$B$13)+(1-C338)*(VLOOKUP("50",Inputs!$A$29:$K$33,6,FALSE())*(Inputs!$B$25/14)*Inputs!$B$5+VLOOKUP("50",Inputs!$A$29:$K$33,7,FALSE())*(Inputs!$B$25/14)*Inputs!$B$12+VLOOKUP("50",Inputs!$A$29:$K$33,8,FALSE())*(Inputs!$B$25/14)*Inputs!$B$13),C338*((VLOOKUP("50",Inputs!$A$29:$K$33,3,FALSE())*(Inputs!$B$25/14)*Inputs!$B$5+VLOOKUP("50",Inputs!$A$29:$K$33,4,FALSE())*(Inputs!$B$25/14)*Inputs!$B$12+VLOOKUP("50",Inputs!$A$29:$K$33,5,FALSE())*(Inputs!$B$25/14)*Inputs!$B$13)+Inputs!$B$18)+(1-C338)*((INDEX(Inputs!$A$37:$C$37,1,1)*(Inputs!$B$25/14)*Inputs!$B$5+INDEX(Inputs!$A$37:$C$37,1,2)*(Inputs!$B$25/14)*Inputs!$B$12+INDEX(Inputs!$A$37:$C$37,1,3)*(Inputs!$B$25/14)*Inputs!$B$13)))</f>
        <v>324.859284016071</v>
      </c>
      <c r="E338" s="25" t="n">
        <f aca="false">0</f>
        <v>0</v>
      </c>
      <c r="F33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39" customFormat="false" ht="15" hidden="false" customHeight="true" outlineLevel="0" collapsed="false">
      <c r="A339" s="23" t="n">
        <v>11</v>
      </c>
      <c r="B339" s="24" t="b">
        <f aca="false">A339&lt;=Inputs!$B$17</f>
        <v>0</v>
      </c>
      <c r="C339" s="25" t="n">
        <f aca="false">IF(A339=2,C338*(1-Inputs!$B$22),C338)</f>
        <v>0.276</v>
      </c>
      <c r="D339" s="26" t="n">
        <f aca="false">IF(B339,C339*(VLOOKUP("50",Inputs!$A$29:$K$33,3,FALSE())*(Inputs!$B$25/14)*Inputs!$B$5+VLOOKUP("50",Inputs!$A$29:$K$33,4,FALSE())*(Inputs!$B$25/14)*Inputs!$B$12+VLOOKUP("50",Inputs!$A$29:$K$33,5,FALSE())*(Inputs!$B$25/14)*Inputs!$B$13)+(1-C339)*(VLOOKUP("50",Inputs!$A$29:$K$33,6,FALSE())*(Inputs!$B$25/14)*Inputs!$B$5+VLOOKUP("50",Inputs!$A$29:$K$33,7,FALSE())*(Inputs!$B$25/14)*Inputs!$B$12+VLOOKUP("50",Inputs!$A$29:$K$33,8,FALSE())*(Inputs!$B$25/14)*Inputs!$B$13),C339*((VLOOKUP("50",Inputs!$A$29:$K$33,3,FALSE())*(Inputs!$B$25/14)*Inputs!$B$5+VLOOKUP("50",Inputs!$A$29:$K$33,4,FALSE())*(Inputs!$B$25/14)*Inputs!$B$12+VLOOKUP("50",Inputs!$A$29:$K$33,5,FALSE())*(Inputs!$B$25/14)*Inputs!$B$13)+Inputs!$B$18)+(1-C339)*((INDEX(Inputs!$A$37:$C$37,1,1)*(Inputs!$B$25/14)*Inputs!$B$5+INDEX(Inputs!$A$37:$C$37,1,2)*(Inputs!$B$25/14)*Inputs!$B$12+INDEX(Inputs!$A$37:$C$37,1,3)*(Inputs!$B$25/14)*Inputs!$B$13)))</f>
        <v>324.859284016071</v>
      </c>
      <c r="E339" s="25" t="n">
        <f aca="false">0</f>
        <v>0</v>
      </c>
      <c r="F33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40" customFormat="false" ht="15" hidden="false" customHeight="true" outlineLevel="0" collapsed="false">
      <c r="A340" s="23" t="n">
        <v>12</v>
      </c>
      <c r="B340" s="24" t="b">
        <f aca="false">A340&lt;=Inputs!$B$17</f>
        <v>0</v>
      </c>
      <c r="C340" s="25" t="n">
        <f aca="false">IF(A340=2,C339*(1-Inputs!$B$22),C339)</f>
        <v>0.276</v>
      </c>
      <c r="D340" s="26" t="n">
        <f aca="false">IF(B340,C340*(VLOOKUP("50",Inputs!$A$29:$K$33,3,FALSE())*(Inputs!$B$25/14)*Inputs!$B$5+VLOOKUP("50",Inputs!$A$29:$K$33,4,FALSE())*(Inputs!$B$25/14)*Inputs!$B$12+VLOOKUP("50",Inputs!$A$29:$K$33,5,FALSE())*(Inputs!$B$25/14)*Inputs!$B$13)+(1-C340)*(VLOOKUP("50",Inputs!$A$29:$K$33,6,FALSE())*(Inputs!$B$25/14)*Inputs!$B$5+VLOOKUP("50",Inputs!$A$29:$K$33,7,FALSE())*(Inputs!$B$25/14)*Inputs!$B$12+VLOOKUP("50",Inputs!$A$29:$K$33,8,FALSE())*(Inputs!$B$25/14)*Inputs!$B$13),C340*((VLOOKUP("50",Inputs!$A$29:$K$33,3,FALSE())*(Inputs!$B$25/14)*Inputs!$B$5+VLOOKUP("50",Inputs!$A$29:$K$33,4,FALSE())*(Inputs!$B$25/14)*Inputs!$B$12+VLOOKUP("50",Inputs!$A$29:$K$33,5,FALSE())*(Inputs!$B$25/14)*Inputs!$B$13)+Inputs!$B$18)+(1-C340)*((INDEX(Inputs!$A$37:$C$37,1,1)*(Inputs!$B$25/14)*Inputs!$B$5+INDEX(Inputs!$A$37:$C$37,1,2)*(Inputs!$B$25/14)*Inputs!$B$12+INDEX(Inputs!$A$37:$C$37,1,3)*(Inputs!$B$25/14)*Inputs!$B$13)))</f>
        <v>324.859284016071</v>
      </c>
      <c r="E340" s="25" t="n">
        <f aca="false">0</f>
        <v>0</v>
      </c>
      <c r="F34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41" customFormat="false" ht="15" hidden="false" customHeight="true" outlineLevel="0" collapsed="false">
      <c r="A341" s="27" t="s">
        <v>125</v>
      </c>
      <c r="D341" s="28" t="n">
        <f aca="false">SUM(D329:D340)</f>
        <v>3458.95699740725</v>
      </c>
      <c r="F341" s="28" t="n">
        <f aca="false">SUM(F329:F340)</f>
        <v>3913.03653761406</v>
      </c>
    </row>
    <row r="343" customFormat="false" ht="15" hidden="false" customHeight="true" outlineLevel="0" collapsed="false">
      <c r="A343" s="27" t="s">
        <v>168</v>
      </c>
    </row>
    <row r="344" customFormat="false" ht="21.75" hidden="false" customHeight="true" outlineLevel="0" collapsed="false">
      <c r="A344" s="43" t="s">
        <v>92</v>
      </c>
      <c r="B344" s="43" t="s">
        <v>145</v>
      </c>
      <c r="C344" s="43" t="s">
        <v>146</v>
      </c>
      <c r="D344" s="43" t="s">
        <v>147</v>
      </c>
      <c r="E344" s="43" t="s">
        <v>148</v>
      </c>
      <c r="F344" s="43" t="s">
        <v>149</v>
      </c>
    </row>
    <row r="345" customFormat="false" ht="15" hidden="false" customHeight="true" outlineLevel="0" collapsed="false">
      <c r="A345" s="23" t="n">
        <v>1</v>
      </c>
      <c r="B345" s="24" t="b">
        <f aca="false">A345&lt;=Inputs!$B$17</f>
        <v>1</v>
      </c>
      <c r="C345" s="25" t="n">
        <f aca="false">VLOOKUP("50",Inputs!$A$29:$K$33,2,FALSE())</f>
        <v>0.4</v>
      </c>
      <c r="D345" s="26" t="n">
        <f aca="false">IF(B345,C345*(VLOOKUP("50",Inputs!$A$29:$K$33,3,FALSE())*(Inputs!$B$25/14)*Inputs!$B$5+VLOOKUP("50",Inputs!$A$29:$K$33,4,FALSE())*(Inputs!$B$25/14)*Inputs!$B$12+VLOOKUP("50",Inputs!$A$29:$K$33,5,FALSE())*(Inputs!$B$25/14)*Inputs!$B$13)+(1-C345)*(VLOOKUP("50",Inputs!$A$29:$K$33,6,FALSE())*(Inputs!$B$25/14)*Inputs!$B$5+VLOOKUP("50",Inputs!$A$29:$K$33,7,FALSE())*(Inputs!$B$25/14)*Inputs!$B$12+VLOOKUP("50",Inputs!$A$29:$K$33,8,FALSE())*(Inputs!$B$25/14)*Inputs!$B$13),C345*((VLOOKUP("50",Inputs!$A$29:$K$33,3,FALSE())*(Inputs!$B$25/14)*Inputs!$B$5+VLOOKUP("50",Inputs!$A$29:$K$33,4,FALSE())*(Inputs!$B$25/14)*Inputs!$B$12+VLOOKUP("50",Inputs!$A$29:$K$33,5,FALSE())*(Inputs!$B$25/14)*Inputs!$B$13)+Inputs!$B$18)+(1-C345)*((VLOOKUP("50",Inputs!$A$29:$K$33,9,FALSE())*(Inputs!$B$25/14)*Inputs!$B$5+VLOOKUP("50",Inputs!$A$29:$K$33,10,FALSE())*(Inputs!$B$25/14)*Inputs!$B$12+VLOOKUP("50",Inputs!$A$29:$K$33,11,FALSE())*(Inputs!$B$25/14)*Inputs!$B$13)))</f>
        <v>170.045006016964</v>
      </c>
      <c r="E345" s="25" t="n">
        <f aca="false">Inputs!$B$21</f>
        <v>0.083</v>
      </c>
      <c r="F345" s="26" t="n">
        <f aca="false">E345*(VLOOKUP("50",Inputs!$A$29:$K$33,3,FALSE())*(Inputs!$B$25/14)*Inputs!$B$5+VLOOKUP("50",Inputs!$A$29:$K$33,4,FALSE())*(Inputs!$B$25/14)*Inputs!$B$12+VLOOKUP("50",Inputs!$A$29:$K$33,5,FALSE())*(Inputs!$B$25/14)*Inputs!$B$13)+(1-E345)*(INDEX(Inputs!$A$37:$C$37,1,1)*(Inputs!$B$25/14)*Inputs!$B$5+INDEX(Inputs!$A$37:$C$37,1,2)*(Inputs!$B$25/14)*Inputs!$B$12+INDEX(Inputs!$A$37:$C$37,1,3)*(Inputs!$B$25/14)*Inputs!$B$13)</f>
        <v>309.48128772567</v>
      </c>
    </row>
    <row r="346" customFormat="false" ht="15" hidden="false" customHeight="true" outlineLevel="0" collapsed="false">
      <c r="A346" s="23" t="n">
        <v>2</v>
      </c>
      <c r="B346" s="24" t="b">
        <f aca="false">A346&lt;=Inputs!$B$17</f>
        <v>1</v>
      </c>
      <c r="C346" s="25" t="n">
        <f aca="false">IF(A346=2,C345*(1-Inputs!$B$22),C345)</f>
        <v>0.276</v>
      </c>
      <c r="D346" s="26" t="n">
        <f aca="false">IF(B346,C346*(VLOOKUP("50",Inputs!$A$29:$K$33,3,FALSE())*(Inputs!$B$25/14)*Inputs!$B$5+VLOOKUP("50",Inputs!$A$29:$K$33,4,FALSE())*(Inputs!$B$25/14)*Inputs!$B$12+VLOOKUP("50",Inputs!$A$29:$K$33,5,FALSE())*(Inputs!$B$25/14)*Inputs!$B$13)+(1-C346)*(VLOOKUP("50",Inputs!$A$29:$K$33,6,FALSE())*(Inputs!$B$25/14)*Inputs!$B$5+VLOOKUP("50",Inputs!$A$29:$K$33,7,FALSE())*(Inputs!$B$25/14)*Inputs!$B$12+VLOOKUP("50",Inputs!$A$29:$K$33,8,FALSE())*(Inputs!$B$25/14)*Inputs!$B$13),C346*((VLOOKUP("50",Inputs!$A$29:$K$33,3,FALSE())*(Inputs!$B$25/14)*Inputs!$B$5+VLOOKUP("50",Inputs!$A$29:$K$33,4,FALSE())*(Inputs!$B$25/14)*Inputs!$B$12+VLOOKUP("50",Inputs!$A$29:$K$33,5,FALSE())*(Inputs!$B$25/14)*Inputs!$B$13)+Inputs!$B$18)+(1-C346)*((VLOOKUP("50",Inputs!$A$29:$K$33,9,FALSE())*(Inputs!$B$25/14)*Inputs!$B$5+VLOOKUP("50",Inputs!$A$29:$K$33,10,FALSE())*(Inputs!$B$25/14)*Inputs!$B$12+VLOOKUP("50",Inputs!$A$29:$K$33,11,FALSE())*(Inputs!$B$25/14)*Inputs!$B$13)))</f>
        <v>182.589217622821</v>
      </c>
      <c r="E346" s="25" t="n">
        <f aca="false">0</f>
        <v>0</v>
      </c>
      <c r="F34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47" customFormat="false" ht="15" hidden="false" customHeight="true" outlineLevel="0" collapsed="false">
      <c r="A347" s="23" t="n">
        <v>3</v>
      </c>
      <c r="B347" s="24" t="b">
        <f aca="false">A347&lt;=Inputs!$B$17</f>
        <v>1</v>
      </c>
      <c r="C347" s="25" t="n">
        <f aca="false">IF(A347=2,C346*(1-Inputs!$B$22),C346)</f>
        <v>0.276</v>
      </c>
      <c r="D347" s="26" t="n">
        <f aca="false">IF(B347,C347*(VLOOKUP("50",Inputs!$A$29:$K$33,3,FALSE())*(Inputs!$B$25/14)*Inputs!$B$5+VLOOKUP("50",Inputs!$A$29:$K$33,4,FALSE())*(Inputs!$B$25/14)*Inputs!$B$12+VLOOKUP("50",Inputs!$A$29:$K$33,5,FALSE())*(Inputs!$B$25/14)*Inputs!$B$13)+(1-C347)*(VLOOKUP("50",Inputs!$A$29:$K$33,6,FALSE())*(Inputs!$B$25/14)*Inputs!$B$5+VLOOKUP("50",Inputs!$A$29:$K$33,7,FALSE())*(Inputs!$B$25/14)*Inputs!$B$12+VLOOKUP("50",Inputs!$A$29:$K$33,8,FALSE())*(Inputs!$B$25/14)*Inputs!$B$13),C347*((VLOOKUP("50",Inputs!$A$29:$K$33,3,FALSE())*(Inputs!$B$25/14)*Inputs!$B$5+VLOOKUP("50",Inputs!$A$29:$K$33,4,FALSE())*(Inputs!$B$25/14)*Inputs!$B$12+VLOOKUP("50",Inputs!$A$29:$K$33,5,FALSE())*(Inputs!$B$25/14)*Inputs!$B$13)+Inputs!$B$18)+(1-C347)*((VLOOKUP("50",Inputs!$A$29:$K$33,9,FALSE())*(Inputs!$B$25/14)*Inputs!$B$5+VLOOKUP("50",Inputs!$A$29:$K$33,10,FALSE())*(Inputs!$B$25/14)*Inputs!$B$12+VLOOKUP("50",Inputs!$A$29:$K$33,11,FALSE())*(Inputs!$B$25/14)*Inputs!$B$13)))</f>
        <v>182.589217622821</v>
      </c>
      <c r="E347" s="25" t="n">
        <f aca="false">0</f>
        <v>0</v>
      </c>
      <c r="F34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48" customFormat="false" ht="15" hidden="false" customHeight="true" outlineLevel="0" collapsed="false">
      <c r="A348" s="23" t="n">
        <v>4</v>
      </c>
      <c r="B348" s="24" t="b">
        <f aca="false">A348&lt;=Inputs!$B$17</f>
        <v>0</v>
      </c>
      <c r="C348" s="25" t="n">
        <f aca="false">IF(A348=2,C347*(1-Inputs!$B$22),C347)</f>
        <v>0.276</v>
      </c>
      <c r="D348" s="26" t="n">
        <f aca="false">IF(B348,C348*(VLOOKUP("50",Inputs!$A$29:$K$33,3,FALSE())*(Inputs!$B$25/14)*Inputs!$B$5+VLOOKUP("50",Inputs!$A$29:$K$33,4,FALSE())*(Inputs!$B$25/14)*Inputs!$B$12+VLOOKUP("50",Inputs!$A$29:$K$33,5,FALSE())*(Inputs!$B$25/14)*Inputs!$B$13)+(1-C348)*(VLOOKUP("50",Inputs!$A$29:$K$33,6,FALSE())*(Inputs!$B$25/14)*Inputs!$B$5+VLOOKUP("50",Inputs!$A$29:$K$33,7,FALSE())*(Inputs!$B$25/14)*Inputs!$B$12+VLOOKUP("50",Inputs!$A$29:$K$33,8,FALSE())*(Inputs!$B$25/14)*Inputs!$B$13),C348*((VLOOKUP("50",Inputs!$A$29:$K$33,3,FALSE())*(Inputs!$B$25/14)*Inputs!$B$5+VLOOKUP("50",Inputs!$A$29:$K$33,4,FALSE())*(Inputs!$B$25/14)*Inputs!$B$12+VLOOKUP("50",Inputs!$A$29:$K$33,5,FALSE())*(Inputs!$B$25/14)*Inputs!$B$13)+Inputs!$B$18)+(1-C348)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48" s="25" t="n">
        <f aca="false">0</f>
        <v>0</v>
      </c>
      <c r="F34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49" customFormat="false" ht="15" hidden="false" customHeight="true" outlineLevel="0" collapsed="false">
      <c r="A349" s="23" t="n">
        <v>5</v>
      </c>
      <c r="B349" s="24" t="b">
        <f aca="false">A349&lt;=Inputs!$B$17</f>
        <v>0</v>
      </c>
      <c r="C349" s="25" t="n">
        <f aca="false">IF(A349=2,C348*(1-Inputs!$B$22),C348)</f>
        <v>0.276</v>
      </c>
      <c r="D349" s="26" t="n">
        <f aca="false">IF(B349,C349*(VLOOKUP("50",Inputs!$A$29:$K$33,3,FALSE())*(Inputs!$B$25/14)*Inputs!$B$5+VLOOKUP("50",Inputs!$A$29:$K$33,4,FALSE())*(Inputs!$B$25/14)*Inputs!$B$12+VLOOKUP("50",Inputs!$A$29:$K$33,5,FALSE())*(Inputs!$B$25/14)*Inputs!$B$13)+(1-C349)*(VLOOKUP("50",Inputs!$A$29:$K$33,6,FALSE())*(Inputs!$B$25/14)*Inputs!$B$5+VLOOKUP("50",Inputs!$A$29:$K$33,7,FALSE())*(Inputs!$B$25/14)*Inputs!$B$12+VLOOKUP("50",Inputs!$A$29:$K$33,8,FALSE())*(Inputs!$B$25/14)*Inputs!$B$13),C349*((VLOOKUP("50",Inputs!$A$29:$K$33,3,FALSE())*(Inputs!$B$25/14)*Inputs!$B$5+VLOOKUP("50",Inputs!$A$29:$K$33,4,FALSE())*(Inputs!$B$25/14)*Inputs!$B$12+VLOOKUP("50",Inputs!$A$29:$K$33,5,FALSE())*(Inputs!$B$25/14)*Inputs!$B$13)+Inputs!$B$18)+(1-C349)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49" s="25" t="n">
        <f aca="false">0</f>
        <v>0</v>
      </c>
      <c r="F34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0" customFormat="false" ht="15" hidden="false" customHeight="true" outlineLevel="0" collapsed="false">
      <c r="A350" s="23" t="n">
        <v>6</v>
      </c>
      <c r="B350" s="24" t="b">
        <f aca="false">A350&lt;=Inputs!$B$17</f>
        <v>0</v>
      </c>
      <c r="C350" s="25" t="n">
        <f aca="false">IF(A350=2,C349*(1-Inputs!$B$22),C349)</f>
        <v>0.276</v>
      </c>
      <c r="D350" s="26" t="n">
        <f aca="false">IF(B350,C350*(VLOOKUP("50",Inputs!$A$29:$K$33,3,FALSE())*(Inputs!$B$25/14)*Inputs!$B$5+VLOOKUP("50",Inputs!$A$29:$K$33,4,FALSE())*(Inputs!$B$25/14)*Inputs!$B$12+VLOOKUP("50",Inputs!$A$29:$K$33,5,FALSE())*(Inputs!$B$25/14)*Inputs!$B$13)+(1-C350)*(VLOOKUP("50",Inputs!$A$29:$K$33,6,FALSE())*(Inputs!$B$25/14)*Inputs!$B$5+VLOOKUP("50",Inputs!$A$29:$K$33,7,FALSE())*(Inputs!$B$25/14)*Inputs!$B$12+VLOOKUP("50",Inputs!$A$29:$K$33,8,FALSE())*(Inputs!$B$25/14)*Inputs!$B$13),C350*((VLOOKUP("50",Inputs!$A$29:$K$33,3,FALSE())*(Inputs!$B$25/14)*Inputs!$B$5+VLOOKUP("50",Inputs!$A$29:$K$33,4,FALSE())*(Inputs!$B$25/14)*Inputs!$B$12+VLOOKUP("50",Inputs!$A$29:$K$33,5,FALSE())*(Inputs!$B$25/14)*Inputs!$B$13)+Inputs!$B$18)+(1-C350)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0" s="25" t="n">
        <f aca="false">0</f>
        <v>0</v>
      </c>
      <c r="F35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1" customFormat="false" ht="15" hidden="false" customHeight="true" outlineLevel="0" collapsed="false">
      <c r="A351" s="23" t="n">
        <v>7</v>
      </c>
      <c r="B351" s="24" t="b">
        <f aca="false">A351&lt;=Inputs!$B$17</f>
        <v>0</v>
      </c>
      <c r="C351" s="25" t="n">
        <f aca="false">IF(A351=2,C350*(1-Inputs!$B$22),C350)</f>
        <v>0.276</v>
      </c>
      <c r="D351" s="26" t="n">
        <f aca="false">IF(B351,C351*(VLOOKUP("50",Inputs!$A$29:$K$33,3,FALSE())*(Inputs!$B$25/14)*Inputs!$B$5+VLOOKUP("50",Inputs!$A$29:$K$33,4,FALSE())*(Inputs!$B$25/14)*Inputs!$B$12+VLOOKUP("50",Inputs!$A$29:$K$33,5,FALSE())*(Inputs!$B$25/14)*Inputs!$B$13)+(1-C351)*(VLOOKUP("50",Inputs!$A$29:$K$33,6,FALSE())*(Inputs!$B$25/14)*Inputs!$B$5+VLOOKUP("50",Inputs!$A$29:$K$33,7,FALSE())*(Inputs!$B$25/14)*Inputs!$B$12+VLOOKUP("50",Inputs!$A$29:$K$33,8,FALSE())*(Inputs!$B$25/14)*Inputs!$B$13),C351*((VLOOKUP("50",Inputs!$A$29:$K$33,3,FALSE())*(Inputs!$B$25/14)*Inputs!$B$5+VLOOKUP("50",Inputs!$A$29:$K$33,4,FALSE())*(Inputs!$B$25/14)*Inputs!$B$12+VLOOKUP("50",Inputs!$A$29:$K$33,5,FALSE())*(Inputs!$B$25/14)*Inputs!$B$13)+Inputs!$B$18)+(1-C351)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1" s="25" t="n">
        <f aca="false">0</f>
        <v>0</v>
      </c>
      <c r="F35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2" customFormat="false" ht="15" hidden="false" customHeight="true" outlineLevel="0" collapsed="false">
      <c r="A352" s="23" t="n">
        <v>8</v>
      </c>
      <c r="B352" s="24" t="b">
        <f aca="false">A352&lt;=Inputs!$B$17</f>
        <v>0</v>
      </c>
      <c r="C352" s="25" t="n">
        <f aca="false">IF(A352=2,C351*(1-Inputs!$B$22),C351)</f>
        <v>0.276</v>
      </c>
      <c r="D352" s="26" t="n">
        <f aca="false">IF(B352,C352*(VLOOKUP("50",Inputs!$A$29:$K$33,3,FALSE())*(Inputs!$B$25/14)*Inputs!$B$5+VLOOKUP("50",Inputs!$A$29:$K$33,4,FALSE())*(Inputs!$B$25/14)*Inputs!$B$12+VLOOKUP("50",Inputs!$A$29:$K$33,5,FALSE())*(Inputs!$B$25/14)*Inputs!$B$13)+(1-C352)*(VLOOKUP("50",Inputs!$A$29:$K$33,6,FALSE())*(Inputs!$B$25/14)*Inputs!$B$5+VLOOKUP("50",Inputs!$A$29:$K$33,7,FALSE())*(Inputs!$B$25/14)*Inputs!$B$12+VLOOKUP("50",Inputs!$A$29:$K$33,8,FALSE())*(Inputs!$B$25/14)*Inputs!$B$13),C352*((VLOOKUP("50",Inputs!$A$29:$K$33,3,FALSE())*(Inputs!$B$25/14)*Inputs!$B$5+VLOOKUP("50",Inputs!$A$29:$K$33,4,FALSE())*(Inputs!$B$25/14)*Inputs!$B$12+VLOOKUP("50",Inputs!$A$29:$K$33,5,FALSE())*(Inputs!$B$25/14)*Inputs!$B$13)+Inputs!$B$18)+(1-C352)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2" s="25" t="n">
        <f aca="false">0</f>
        <v>0</v>
      </c>
      <c r="F35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3" customFormat="false" ht="15" hidden="false" customHeight="true" outlineLevel="0" collapsed="false">
      <c r="A353" s="23" t="n">
        <v>9</v>
      </c>
      <c r="B353" s="24" t="b">
        <f aca="false">A353&lt;=Inputs!$B$17</f>
        <v>0</v>
      </c>
      <c r="C353" s="25" t="n">
        <f aca="false">IF(A353=2,C352*(1-Inputs!$B$22),C352)</f>
        <v>0.276</v>
      </c>
      <c r="D353" s="26" t="n">
        <f aca="false">IF(B353,C353*(VLOOKUP("50",Inputs!$A$29:$K$33,3,FALSE())*(Inputs!$B$25/14)*Inputs!$B$5+VLOOKUP("50",Inputs!$A$29:$K$33,4,FALSE())*(Inputs!$B$25/14)*Inputs!$B$12+VLOOKUP("50",Inputs!$A$29:$K$33,5,FALSE())*(Inputs!$B$25/14)*Inputs!$B$13)+(1-C353)*(VLOOKUP("50",Inputs!$A$29:$K$33,6,FALSE())*(Inputs!$B$25/14)*Inputs!$B$5+VLOOKUP("50",Inputs!$A$29:$K$33,7,FALSE())*(Inputs!$B$25/14)*Inputs!$B$12+VLOOKUP("50",Inputs!$A$29:$K$33,8,FALSE())*(Inputs!$B$25/14)*Inputs!$B$13),C353*((VLOOKUP("50",Inputs!$A$29:$K$33,3,FALSE())*(Inputs!$B$25/14)*Inputs!$B$5+VLOOKUP("50",Inputs!$A$29:$K$33,4,FALSE())*(Inputs!$B$25/14)*Inputs!$B$12+VLOOKUP("50",Inputs!$A$29:$K$33,5,FALSE())*(Inputs!$B$25/14)*Inputs!$B$13)+Inputs!$B$18)+(1-C353)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3" s="25" t="n">
        <f aca="false">0</f>
        <v>0</v>
      </c>
      <c r="F35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4" customFormat="false" ht="15" hidden="false" customHeight="true" outlineLevel="0" collapsed="false">
      <c r="A354" s="23" t="n">
        <v>10</v>
      </c>
      <c r="B354" s="24" t="b">
        <f aca="false">A354&lt;=Inputs!$B$17</f>
        <v>0</v>
      </c>
      <c r="C354" s="25" t="n">
        <f aca="false">IF(A354=2,C353*(1-Inputs!$B$22),C353)</f>
        <v>0.276</v>
      </c>
      <c r="D354" s="26" t="n">
        <f aca="false">IF(B354,C354*(VLOOKUP("50",Inputs!$A$29:$K$33,3,FALSE())*(Inputs!$B$25/14)*Inputs!$B$5+VLOOKUP("50",Inputs!$A$29:$K$33,4,FALSE())*(Inputs!$B$25/14)*Inputs!$B$12+VLOOKUP("50",Inputs!$A$29:$K$33,5,FALSE())*(Inputs!$B$25/14)*Inputs!$B$13)+(1-C354)*(VLOOKUP("50",Inputs!$A$29:$K$33,6,FALSE())*(Inputs!$B$25/14)*Inputs!$B$5+VLOOKUP("50",Inputs!$A$29:$K$33,7,FALSE())*(Inputs!$B$25/14)*Inputs!$B$12+VLOOKUP("50",Inputs!$A$29:$K$33,8,FALSE())*(Inputs!$B$25/14)*Inputs!$B$13),C354*((VLOOKUP("50",Inputs!$A$29:$K$33,3,FALSE())*(Inputs!$B$25/14)*Inputs!$B$5+VLOOKUP("50",Inputs!$A$29:$K$33,4,FALSE())*(Inputs!$B$25/14)*Inputs!$B$12+VLOOKUP("50",Inputs!$A$29:$K$33,5,FALSE())*(Inputs!$B$25/14)*Inputs!$B$13)+Inputs!$B$18)+(1-C354)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4" s="25" t="n">
        <f aca="false">0</f>
        <v>0</v>
      </c>
      <c r="F35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5" customFormat="false" ht="15" hidden="false" customHeight="true" outlineLevel="0" collapsed="false">
      <c r="A355" s="23" t="n">
        <v>11</v>
      </c>
      <c r="B355" s="24" t="b">
        <f aca="false">A355&lt;=Inputs!$B$17</f>
        <v>0</v>
      </c>
      <c r="C355" s="25" t="n">
        <f aca="false">IF(A355=2,C354*(1-Inputs!$B$22),C354)</f>
        <v>0.276</v>
      </c>
      <c r="D355" s="26" t="n">
        <f aca="false">IF(B355,C355*(VLOOKUP("50",Inputs!$A$29:$K$33,3,FALSE())*(Inputs!$B$25/14)*Inputs!$B$5+VLOOKUP("50",Inputs!$A$29:$K$33,4,FALSE())*(Inputs!$B$25/14)*Inputs!$B$12+VLOOKUP("50",Inputs!$A$29:$K$33,5,FALSE())*(Inputs!$B$25/14)*Inputs!$B$13)+(1-C355)*(VLOOKUP("50",Inputs!$A$29:$K$33,6,FALSE())*(Inputs!$B$25/14)*Inputs!$B$5+VLOOKUP("50",Inputs!$A$29:$K$33,7,FALSE())*(Inputs!$B$25/14)*Inputs!$B$12+VLOOKUP("50",Inputs!$A$29:$K$33,8,FALSE())*(Inputs!$B$25/14)*Inputs!$B$13),C355*((VLOOKUP("50",Inputs!$A$29:$K$33,3,FALSE())*(Inputs!$B$25/14)*Inputs!$B$5+VLOOKUP("50",Inputs!$A$29:$K$33,4,FALSE())*(Inputs!$B$25/14)*Inputs!$B$12+VLOOKUP("50",Inputs!$A$29:$K$33,5,FALSE())*(Inputs!$B$25/14)*Inputs!$B$13)+Inputs!$B$18)+(1-C355)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5" s="25" t="n">
        <f aca="false">0</f>
        <v>0</v>
      </c>
      <c r="F35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6" customFormat="false" ht="15" hidden="false" customHeight="true" outlineLevel="0" collapsed="false">
      <c r="A356" s="23" t="n">
        <v>12</v>
      </c>
      <c r="B356" s="24" t="b">
        <f aca="false">A356&lt;=Inputs!$B$17</f>
        <v>0</v>
      </c>
      <c r="C356" s="25" t="n">
        <f aca="false">IF(A356=2,C355*(1-Inputs!$B$22),C355)</f>
        <v>0.276</v>
      </c>
      <c r="D356" s="26" t="n">
        <f aca="false">IF(B356,C356*(VLOOKUP("50",Inputs!$A$29:$K$33,3,FALSE())*(Inputs!$B$25/14)*Inputs!$B$5+VLOOKUP("50",Inputs!$A$29:$K$33,4,FALSE())*(Inputs!$B$25/14)*Inputs!$B$12+VLOOKUP("50",Inputs!$A$29:$K$33,5,FALSE())*(Inputs!$B$25/14)*Inputs!$B$13)+(1-C356)*(VLOOKUP("50",Inputs!$A$29:$K$33,6,FALSE())*(Inputs!$B$25/14)*Inputs!$B$5+VLOOKUP("50",Inputs!$A$29:$K$33,7,FALSE())*(Inputs!$B$25/14)*Inputs!$B$12+VLOOKUP("50",Inputs!$A$29:$K$33,8,FALSE())*(Inputs!$B$25/14)*Inputs!$B$13),C356*((VLOOKUP("50",Inputs!$A$29:$K$33,3,FALSE())*(Inputs!$B$25/14)*Inputs!$B$5+VLOOKUP("50",Inputs!$A$29:$K$33,4,FALSE())*(Inputs!$B$25/14)*Inputs!$B$12+VLOOKUP("50",Inputs!$A$29:$K$33,5,FALSE())*(Inputs!$B$25/14)*Inputs!$B$13)+Inputs!$B$18)+(1-C356)*((VLOOKUP("50",Inputs!$A$29:$K$33,9,FALSE())*(Inputs!$B$25/14)*Inputs!$B$5+VLOOKUP("50",Inputs!$A$29:$K$33,10,FALSE())*(Inputs!$B$25/14)*Inputs!$B$12+VLOOKUP("50",Inputs!$A$29:$K$33,11,FALSE())*(Inputs!$B$25/14)*Inputs!$B$13)))</f>
        <v>271.766976489464</v>
      </c>
      <c r="E356" s="25" t="n">
        <f aca="false">0</f>
        <v>0</v>
      </c>
      <c r="F35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57" customFormat="false" ht="15" hidden="false" customHeight="true" outlineLevel="0" collapsed="false">
      <c r="A357" s="27" t="s">
        <v>125</v>
      </c>
      <c r="D357" s="28" t="n">
        <f aca="false">SUM(D345:D356)</f>
        <v>2981.12622966779</v>
      </c>
      <c r="F357" s="28" t="n">
        <f aca="false">SUM(F345:F356)</f>
        <v>3913.03653761406</v>
      </c>
    </row>
    <row r="359" customFormat="false" ht="15" hidden="false" customHeight="true" outlineLevel="0" collapsed="false">
      <c r="A359" s="27" t="s">
        <v>169</v>
      </c>
    </row>
    <row r="360" customFormat="false" ht="21.75" hidden="false" customHeight="true" outlineLevel="0" collapsed="false">
      <c r="A360" s="43" t="s">
        <v>92</v>
      </c>
      <c r="B360" s="43" t="s">
        <v>145</v>
      </c>
      <c r="C360" s="43" t="s">
        <v>146</v>
      </c>
      <c r="D360" s="43" t="s">
        <v>147</v>
      </c>
      <c r="E360" s="43" t="s">
        <v>148</v>
      </c>
      <c r="F360" s="43" t="s">
        <v>149</v>
      </c>
    </row>
    <row r="361" customFormat="false" ht="15" hidden="false" customHeight="true" outlineLevel="0" collapsed="false">
      <c r="A361" s="23" t="n">
        <v>1</v>
      </c>
      <c r="B361" s="24" t="b">
        <f aca="false">A361&lt;=Inputs!$B$17</f>
        <v>1</v>
      </c>
      <c r="C361" s="25" t="n">
        <f aca="false">VLOOKUP("50",Inputs!$A$29:$K$33,2,FALSE())</f>
        <v>0.4</v>
      </c>
      <c r="D361" s="26" t="n">
        <f aca="false">IF(B361,C361*(VLOOKUP("50",Inputs!$A$29:$K$33,3,FALSE())*(Inputs!$B$25/14)*Inputs!$B$5+VLOOKUP("50",Inputs!$A$29:$K$33,4,FALSE())*(Inputs!$B$25/14)*Inputs!$B$12+VLOOKUP("50",Inputs!$A$29:$K$33,5,FALSE())*(Inputs!$B$25/14)*Inputs!$B$13)+(1-C361)*(VLOOKUP("50",Inputs!$A$29:$K$33,6,FALSE())*(Inputs!$B$25/14)*Inputs!$B$5+VLOOKUP("50",Inputs!$A$29:$K$33,7,FALSE())*(Inputs!$B$25/14)*Inputs!$B$12+VLOOKUP("50",Inputs!$A$29:$K$33,8,FALSE())*(Inputs!$B$25/14)*Inputs!$B$13),C361*((VLOOKUP("50",Inputs!$A$29:$K$33,3,FALSE())*(Inputs!$B$25/14)*Inputs!$B$5+VLOOKUP("50",Inputs!$A$29:$K$33,4,FALSE())*(Inputs!$B$25/14)*Inputs!$B$12+VLOOKUP("50",Inputs!$A$29:$K$33,5,FALSE())*(Inputs!$B$25/14)*Inputs!$B$13)+Inputs!$B$18)+(1-C361)*((INDEX(Inputs!$A$37:$C$37,1,1)*(Inputs!$B$25/14)*Inputs!$B$5+INDEX(Inputs!$A$37:$C$37,1,2)*(Inputs!$B$25/14)*Inputs!$B$12+INDEX(Inputs!$A$37:$C$37,1,3)*(Inputs!$B$25/14)*Inputs!$B$13)))</f>
        <v>170.045006016964</v>
      </c>
      <c r="E361" s="25" t="n">
        <f aca="false">Inputs!$B$21</f>
        <v>0.083</v>
      </c>
      <c r="F361" s="26" t="n">
        <f aca="false">E361*(VLOOKUP("50",Inputs!$A$29:$K$33,3,FALSE())*(Inputs!$B$25/14)*Inputs!$B$5+VLOOKUP("50",Inputs!$A$29:$K$33,4,FALSE())*(Inputs!$B$25/14)*Inputs!$B$12+VLOOKUP("50",Inputs!$A$29:$K$33,5,FALSE())*(Inputs!$B$25/14)*Inputs!$B$13)+(1-E361)*(INDEX(Inputs!$A$37:$C$37,1,1)*(Inputs!$B$25/14)*Inputs!$B$5+INDEX(Inputs!$A$37:$C$37,1,2)*(Inputs!$B$25/14)*Inputs!$B$12+INDEX(Inputs!$A$37:$C$37,1,3)*(Inputs!$B$25/14)*Inputs!$B$13)</f>
        <v>309.48128772567</v>
      </c>
    </row>
    <row r="362" customFormat="false" ht="15" hidden="false" customHeight="true" outlineLevel="0" collapsed="false">
      <c r="A362" s="23" t="n">
        <v>2</v>
      </c>
      <c r="B362" s="24" t="b">
        <f aca="false">A362&lt;=Inputs!$B$17</f>
        <v>1</v>
      </c>
      <c r="C362" s="25" t="n">
        <f aca="false">C361*(1-Inputs!$B$22)</f>
        <v>0.276</v>
      </c>
      <c r="D362" s="26" t="n">
        <f aca="false">IF(B362,C362*(VLOOKUP("50",Inputs!$A$29:$K$33,3,FALSE())*(Inputs!$B$25/14)*Inputs!$B$5+VLOOKUP("50",Inputs!$A$29:$K$33,4,FALSE())*(Inputs!$B$25/14)*Inputs!$B$12+VLOOKUP("50",Inputs!$A$29:$K$33,5,FALSE())*(Inputs!$B$25/14)*Inputs!$B$13)+(1-C362)*(VLOOKUP("50",Inputs!$A$29:$K$33,6,FALSE())*(Inputs!$B$25/14)*Inputs!$B$5+VLOOKUP("50",Inputs!$A$29:$K$33,7,FALSE())*(Inputs!$B$25/14)*Inputs!$B$12+VLOOKUP("50",Inputs!$A$29:$K$33,8,FALSE())*(Inputs!$B$25/14)*Inputs!$B$13),C362*((VLOOKUP("50",Inputs!$A$29:$K$33,3,FALSE())*(Inputs!$B$25/14)*Inputs!$B$5+VLOOKUP("50",Inputs!$A$29:$K$33,4,FALSE())*(Inputs!$B$25/14)*Inputs!$B$12+VLOOKUP("50",Inputs!$A$29:$K$33,5,FALSE())*(Inputs!$B$25/14)*Inputs!$B$13)+Inputs!$B$18)+(1-C362)*((INDEX(Inputs!$A$37:$C$37,1,1)*(Inputs!$B$25/14)*Inputs!$B$5+INDEX(Inputs!$A$37:$C$37,1,2)*(Inputs!$B$25/14)*Inputs!$B$12+INDEX(Inputs!$A$37:$C$37,1,3)*(Inputs!$B$25/14)*Inputs!$B$13)))</f>
        <v>182.589217622821</v>
      </c>
      <c r="E362" s="25" t="n">
        <f aca="false">0</f>
        <v>0</v>
      </c>
      <c r="F36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3" customFormat="false" ht="15" hidden="false" customHeight="true" outlineLevel="0" collapsed="false">
      <c r="A363" s="23" t="n">
        <v>3</v>
      </c>
      <c r="B363" s="24" t="b">
        <f aca="false">A363&lt;=Inputs!$B$17</f>
        <v>1</v>
      </c>
      <c r="C363" s="25" t="n">
        <f aca="false">C362*(1-Inputs!$B$22)</f>
        <v>0.19044</v>
      </c>
      <c r="D363" s="26" t="n">
        <f aca="false">IF(B363,C363*(VLOOKUP("50",Inputs!$A$29:$K$33,3,FALSE())*(Inputs!$B$25/14)*Inputs!$B$5+VLOOKUP("50",Inputs!$A$29:$K$33,4,FALSE())*(Inputs!$B$25/14)*Inputs!$B$12+VLOOKUP("50",Inputs!$A$29:$K$33,5,FALSE())*(Inputs!$B$25/14)*Inputs!$B$13)+(1-C363)*(VLOOKUP("50",Inputs!$A$29:$K$33,6,FALSE())*(Inputs!$B$25/14)*Inputs!$B$5+VLOOKUP("50",Inputs!$A$29:$K$33,7,FALSE())*(Inputs!$B$25/14)*Inputs!$B$12+VLOOKUP("50",Inputs!$A$29:$K$33,8,FALSE())*(Inputs!$B$25/14)*Inputs!$B$13),C363*((VLOOKUP("50",Inputs!$A$29:$K$33,3,FALSE())*(Inputs!$B$25/14)*Inputs!$B$5+VLOOKUP("50",Inputs!$A$29:$K$33,4,FALSE())*(Inputs!$B$25/14)*Inputs!$B$12+VLOOKUP("50",Inputs!$A$29:$K$33,5,FALSE())*(Inputs!$B$25/14)*Inputs!$B$13)+Inputs!$B$18)+(1-C363)*((INDEX(Inputs!$A$37:$C$37,1,1)*(Inputs!$B$25/14)*Inputs!$B$5+INDEX(Inputs!$A$37:$C$37,1,2)*(Inputs!$B$25/14)*Inputs!$B$12+INDEX(Inputs!$A$37:$C$37,1,3)*(Inputs!$B$25/14)*Inputs!$B$13)))</f>
        <v>191.244723630863</v>
      </c>
      <c r="E363" s="25" t="n">
        <f aca="false">0</f>
        <v>0</v>
      </c>
      <c r="F36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4" customFormat="false" ht="15" hidden="false" customHeight="true" outlineLevel="0" collapsed="false">
      <c r="A364" s="23" t="n">
        <v>4</v>
      </c>
      <c r="B364" s="24" t="b">
        <f aca="false">A364&lt;=Inputs!$B$17</f>
        <v>0</v>
      </c>
      <c r="C364" s="25" t="n">
        <f aca="false">C363*(1-Inputs!$B$22)</f>
        <v>0.1314036</v>
      </c>
      <c r="D364" s="26" t="n">
        <f aca="false">IF(B364,C364*(VLOOKUP("50",Inputs!$A$29:$K$33,3,FALSE())*(Inputs!$B$25/14)*Inputs!$B$5+VLOOKUP("50",Inputs!$A$29:$K$33,4,FALSE())*(Inputs!$B$25/14)*Inputs!$B$12+VLOOKUP("50",Inputs!$A$29:$K$33,5,FALSE())*(Inputs!$B$25/14)*Inputs!$B$13)+(1-C364)*(VLOOKUP("50",Inputs!$A$29:$K$33,6,FALSE())*(Inputs!$B$25/14)*Inputs!$B$5+VLOOKUP("50",Inputs!$A$29:$K$33,7,FALSE())*(Inputs!$B$25/14)*Inputs!$B$12+VLOOKUP("50",Inputs!$A$29:$K$33,8,FALSE())*(Inputs!$B$25/14)*Inputs!$B$13),C364*((VLOOKUP("50",Inputs!$A$29:$K$33,3,FALSE())*(Inputs!$B$25/14)*Inputs!$B$5+VLOOKUP("50",Inputs!$A$29:$K$33,4,FALSE())*(Inputs!$B$25/14)*Inputs!$B$12+VLOOKUP("50",Inputs!$A$29:$K$33,5,FALSE())*(Inputs!$B$25/14)*Inputs!$B$13)+Inputs!$B$18)+(1-C364)*((INDEX(Inputs!$A$37:$C$37,1,1)*(Inputs!$B$25/14)*Inputs!$B$5+INDEX(Inputs!$A$37:$C$37,1,2)*(Inputs!$B$25/14)*Inputs!$B$12+INDEX(Inputs!$A$37:$C$37,1,3)*(Inputs!$B$25/14)*Inputs!$B$13)))</f>
        <v>326.293013794282</v>
      </c>
      <c r="E364" s="25" t="n">
        <f aca="false">0</f>
        <v>0</v>
      </c>
      <c r="F36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5" customFormat="false" ht="15" hidden="false" customHeight="true" outlineLevel="0" collapsed="false">
      <c r="A365" s="23" t="n">
        <v>5</v>
      </c>
      <c r="B365" s="24" t="b">
        <f aca="false">A365&lt;=Inputs!$B$17</f>
        <v>0</v>
      </c>
      <c r="C365" s="25" t="n">
        <f aca="false">C364*(1-Inputs!$B$22)</f>
        <v>0.090668484</v>
      </c>
      <c r="D365" s="26" t="n">
        <f aca="false">IF(B365,C365*(VLOOKUP("50",Inputs!$A$29:$K$33,3,FALSE())*(Inputs!$B$25/14)*Inputs!$B$5+VLOOKUP("50",Inputs!$A$29:$K$33,4,FALSE())*(Inputs!$B$25/14)*Inputs!$B$12+VLOOKUP("50",Inputs!$A$29:$K$33,5,FALSE())*(Inputs!$B$25/14)*Inputs!$B$13)+(1-C365)*(VLOOKUP("50",Inputs!$A$29:$K$33,6,FALSE())*(Inputs!$B$25/14)*Inputs!$B$5+VLOOKUP("50",Inputs!$A$29:$K$33,7,FALSE())*(Inputs!$B$25/14)*Inputs!$B$12+VLOOKUP("50",Inputs!$A$29:$K$33,8,FALSE())*(Inputs!$B$25/14)*Inputs!$B$13),C365*((VLOOKUP("50",Inputs!$A$29:$K$33,3,FALSE())*(Inputs!$B$25/14)*Inputs!$B$5+VLOOKUP("50",Inputs!$A$29:$K$33,4,FALSE())*(Inputs!$B$25/14)*Inputs!$B$12+VLOOKUP("50",Inputs!$A$29:$K$33,5,FALSE())*(Inputs!$B$25/14)*Inputs!$B$13)+Inputs!$B$18)+(1-C365)*((INDEX(Inputs!$A$37:$C$37,1,1)*(Inputs!$B$25/14)*Inputs!$B$5+INDEX(Inputs!$A$37:$C$37,1,2)*(Inputs!$B$25/14)*Inputs!$B$12+INDEX(Inputs!$A$37:$C$37,1,3)*(Inputs!$B$25/14)*Inputs!$B$13)))</f>
        <v>326.696918378545</v>
      </c>
      <c r="E365" s="25" t="n">
        <f aca="false">0</f>
        <v>0</v>
      </c>
      <c r="F36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6" customFormat="false" ht="15" hidden="false" customHeight="true" outlineLevel="0" collapsed="false">
      <c r="A366" s="23" t="n">
        <v>6</v>
      </c>
      <c r="B366" s="24" t="b">
        <f aca="false">A366&lt;=Inputs!$B$17</f>
        <v>0</v>
      </c>
      <c r="C366" s="25" t="n">
        <f aca="false">C365*(1-Inputs!$B$22)</f>
        <v>0.06256125396</v>
      </c>
      <c r="D366" s="26" t="n">
        <f aca="false">IF(B366,C366*(VLOOKUP("50",Inputs!$A$29:$K$33,3,FALSE())*(Inputs!$B$25/14)*Inputs!$B$5+VLOOKUP("50",Inputs!$A$29:$K$33,4,FALSE())*(Inputs!$B$25/14)*Inputs!$B$12+VLOOKUP("50",Inputs!$A$29:$K$33,5,FALSE())*(Inputs!$B$25/14)*Inputs!$B$13)+(1-C366)*(VLOOKUP("50",Inputs!$A$29:$K$33,6,FALSE())*(Inputs!$B$25/14)*Inputs!$B$5+VLOOKUP("50",Inputs!$A$29:$K$33,7,FALSE())*(Inputs!$B$25/14)*Inputs!$B$12+VLOOKUP("50",Inputs!$A$29:$K$33,8,FALSE())*(Inputs!$B$25/14)*Inputs!$B$13),C366*((VLOOKUP("50",Inputs!$A$29:$K$33,3,FALSE())*(Inputs!$B$25/14)*Inputs!$B$5+VLOOKUP("50",Inputs!$A$29:$K$33,4,FALSE())*(Inputs!$B$25/14)*Inputs!$B$12+VLOOKUP("50",Inputs!$A$29:$K$33,5,FALSE())*(Inputs!$B$25/14)*Inputs!$B$13)+Inputs!$B$18)+(1-C366)*((INDEX(Inputs!$A$37:$C$37,1,1)*(Inputs!$B$25/14)*Inputs!$B$5+INDEX(Inputs!$A$37:$C$37,1,2)*(Inputs!$B$25/14)*Inputs!$B$12+INDEX(Inputs!$A$37:$C$37,1,3)*(Inputs!$B$25/14)*Inputs!$B$13)))</f>
        <v>326.975612541687</v>
      </c>
      <c r="E366" s="25" t="n">
        <f aca="false">0</f>
        <v>0</v>
      </c>
      <c r="F36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7" customFormat="false" ht="15" hidden="false" customHeight="true" outlineLevel="0" collapsed="false">
      <c r="A367" s="23" t="n">
        <v>7</v>
      </c>
      <c r="B367" s="24" t="b">
        <f aca="false">A367&lt;=Inputs!$B$17</f>
        <v>0</v>
      </c>
      <c r="C367" s="25" t="n">
        <f aca="false">C366*(1-Inputs!$B$22)</f>
        <v>0.0431672652324</v>
      </c>
      <c r="D367" s="26" t="n">
        <f aca="false">IF(B367,C367*(VLOOKUP("50",Inputs!$A$29:$K$33,3,FALSE())*(Inputs!$B$25/14)*Inputs!$B$5+VLOOKUP("50",Inputs!$A$29:$K$33,4,FALSE())*(Inputs!$B$25/14)*Inputs!$B$12+VLOOKUP("50",Inputs!$A$29:$K$33,5,FALSE())*(Inputs!$B$25/14)*Inputs!$B$13)+(1-C367)*(VLOOKUP("50",Inputs!$A$29:$K$33,6,FALSE())*(Inputs!$B$25/14)*Inputs!$B$5+VLOOKUP("50",Inputs!$A$29:$K$33,7,FALSE())*(Inputs!$B$25/14)*Inputs!$B$12+VLOOKUP("50",Inputs!$A$29:$K$33,8,FALSE())*(Inputs!$B$25/14)*Inputs!$B$13),C367*((VLOOKUP("50",Inputs!$A$29:$K$33,3,FALSE())*(Inputs!$B$25/14)*Inputs!$B$5+VLOOKUP("50",Inputs!$A$29:$K$33,4,FALSE())*(Inputs!$B$25/14)*Inputs!$B$12+VLOOKUP("50",Inputs!$A$29:$K$33,5,FALSE())*(Inputs!$B$25/14)*Inputs!$B$13)+Inputs!$B$18)+(1-C367)*((INDEX(Inputs!$A$37:$C$37,1,1)*(Inputs!$B$25/14)*Inputs!$B$5+INDEX(Inputs!$A$37:$C$37,1,2)*(Inputs!$B$25/14)*Inputs!$B$12+INDEX(Inputs!$A$37:$C$37,1,3)*(Inputs!$B$25/14)*Inputs!$B$13)))</f>
        <v>327.167911514255</v>
      </c>
      <c r="E367" s="25" t="n">
        <f aca="false">0</f>
        <v>0</v>
      </c>
      <c r="F36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8" customFormat="false" ht="15" hidden="false" customHeight="true" outlineLevel="0" collapsed="false">
      <c r="A368" s="23" t="n">
        <v>8</v>
      </c>
      <c r="B368" s="24" t="b">
        <f aca="false">A368&lt;=Inputs!$B$17</f>
        <v>0</v>
      </c>
      <c r="C368" s="25" t="n">
        <f aca="false">C367*(1-Inputs!$B$22)</f>
        <v>0.029785413010356</v>
      </c>
      <c r="D368" s="26" t="n">
        <f aca="false">IF(B368,C368*(VLOOKUP("50",Inputs!$A$29:$K$33,3,FALSE())*(Inputs!$B$25/14)*Inputs!$B$5+VLOOKUP("50",Inputs!$A$29:$K$33,4,FALSE())*(Inputs!$B$25/14)*Inputs!$B$12+VLOOKUP("50",Inputs!$A$29:$K$33,5,FALSE())*(Inputs!$B$25/14)*Inputs!$B$13)+(1-C368)*(VLOOKUP("50",Inputs!$A$29:$K$33,6,FALSE())*(Inputs!$B$25/14)*Inputs!$B$5+VLOOKUP("50",Inputs!$A$29:$K$33,7,FALSE())*(Inputs!$B$25/14)*Inputs!$B$12+VLOOKUP("50",Inputs!$A$29:$K$33,8,FALSE())*(Inputs!$B$25/14)*Inputs!$B$13),C368*((VLOOKUP("50",Inputs!$A$29:$K$33,3,FALSE())*(Inputs!$B$25/14)*Inputs!$B$5+VLOOKUP("50",Inputs!$A$29:$K$33,4,FALSE())*(Inputs!$B$25/14)*Inputs!$B$12+VLOOKUP("50",Inputs!$A$29:$K$33,5,FALSE())*(Inputs!$B$25/14)*Inputs!$B$13)+Inputs!$B$18)+(1-C368)*((INDEX(Inputs!$A$37:$C$37,1,1)*(Inputs!$B$25/14)*Inputs!$B$5+INDEX(Inputs!$A$37:$C$37,1,2)*(Inputs!$B$25/14)*Inputs!$B$12+INDEX(Inputs!$A$37:$C$37,1,3)*(Inputs!$B$25/14)*Inputs!$B$13)))</f>
        <v>327.300597805327</v>
      </c>
      <c r="E368" s="25" t="n">
        <f aca="false">0</f>
        <v>0</v>
      </c>
      <c r="F36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69" customFormat="false" ht="15" hidden="false" customHeight="true" outlineLevel="0" collapsed="false">
      <c r="A369" s="23" t="n">
        <v>9</v>
      </c>
      <c r="B369" s="24" t="b">
        <f aca="false">A369&lt;=Inputs!$B$17</f>
        <v>0</v>
      </c>
      <c r="C369" s="25" t="n">
        <f aca="false">C368*(1-Inputs!$B$22)</f>
        <v>0.0205519349771456</v>
      </c>
      <c r="D369" s="26" t="n">
        <f aca="false">IF(B369,C369*(VLOOKUP("50",Inputs!$A$29:$K$33,3,FALSE())*(Inputs!$B$25/14)*Inputs!$B$5+VLOOKUP("50",Inputs!$A$29:$K$33,4,FALSE())*(Inputs!$B$25/14)*Inputs!$B$12+VLOOKUP("50",Inputs!$A$29:$K$33,5,FALSE())*(Inputs!$B$25/14)*Inputs!$B$13)+(1-C369)*(VLOOKUP("50",Inputs!$A$29:$K$33,6,FALSE())*(Inputs!$B$25/14)*Inputs!$B$5+VLOOKUP("50",Inputs!$A$29:$K$33,7,FALSE())*(Inputs!$B$25/14)*Inputs!$B$12+VLOOKUP("50",Inputs!$A$29:$K$33,8,FALSE())*(Inputs!$B$25/14)*Inputs!$B$13),C369*((VLOOKUP("50",Inputs!$A$29:$K$33,3,FALSE())*(Inputs!$B$25/14)*Inputs!$B$5+VLOOKUP("50",Inputs!$A$29:$K$33,4,FALSE())*(Inputs!$B$25/14)*Inputs!$B$12+VLOOKUP("50",Inputs!$A$29:$K$33,5,FALSE())*(Inputs!$B$25/14)*Inputs!$B$13)+Inputs!$B$18)+(1-C369)*((INDEX(Inputs!$A$37:$C$37,1,1)*(Inputs!$B$25/14)*Inputs!$B$5+INDEX(Inputs!$A$37:$C$37,1,2)*(Inputs!$B$25/14)*Inputs!$B$12+INDEX(Inputs!$A$37:$C$37,1,3)*(Inputs!$B$25/14)*Inputs!$B$13)))</f>
        <v>327.392151346167</v>
      </c>
      <c r="E369" s="25" t="n">
        <f aca="false">0</f>
        <v>0</v>
      </c>
      <c r="F36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70" customFormat="false" ht="15" hidden="false" customHeight="true" outlineLevel="0" collapsed="false">
      <c r="A370" s="23" t="n">
        <v>10</v>
      </c>
      <c r="B370" s="24" t="b">
        <f aca="false">A370&lt;=Inputs!$B$17</f>
        <v>0</v>
      </c>
      <c r="C370" s="25" t="n">
        <f aca="false">C369*(1-Inputs!$B$22)</f>
        <v>0.0141808351342305</v>
      </c>
      <c r="D370" s="26" t="n">
        <f aca="false">IF(B370,C370*(VLOOKUP("50",Inputs!$A$29:$K$33,3,FALSE())*(Inputs!$B$25/14)*Inputs!$B$5+VLOOKUP("50",Inputs!$A$29:$K$33,4,FALSE())*(Inputs!$B$25/14)*Inputs!$B$12+VLOOKUP("50",Inputs!$A$29:$K$33,5,FALSE())*(Inputs!$B$25/14)*Inputs!$B$13)+(1-C370)*(VLOOKUP("50",Inputs!$A$29:$K$33,6,FALSE())*(Inputs!$B$25/14)*Inputs!$B$5+VLOOKUP("50",Inputs!$A$29:$K$33,7,FALSE())*(Inputs!$B$25/14)*Inputs!$B$12+VLOOKUP("50",Inputs!$A$29:$K$33,8,FALSE())*(Inputs!$B$25/14)*Inputs!$B$13),C370*((VLOOKUP("50",Inputs!$A$29:$K$33,3,FALSE())*(Inputs!$B$25/14)*Inputs!$B$5+VLOOKUP("50",Inputs!$A$29:$K$33,4,FALSE())*(Inputs!$B$25/14)*Inputs!$B$12+VLOOKUP("50",Inputs!$A$29:$K$33,5,FALSE())*(Inputs!$B$25/14)*Inputs!$B$13)+Inputs!$B$18)+(1-C370)*((INDEX(Inputs!$A$37:$C$37,1,1)*(Inputs!$B$25/14)*Inputs!$B$5+INDEX(Inputs!$A$37:$C$37,1,2)*(Inputs!$B$25/14)*Inputs!$B$12+INDEX(Inputs!$A$37:$C$37,1,3)*(Inputs!$B$25/14)*Inputs!$B$13)))</f>
        <v>327.455323289346</v>
      </c>
      <c r="E370" s="25" t="n">
        <f aca="false">0</f>
        <v>0</v>
      </c>
      <c r="F37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71" customFormat="false" ht="15" hidden="false" customHeight="true" outlineLevel="0" collapsed="false">
      <c r="A371" s="23" t="n">
        <v>11</v>
      </c>
      <c r="B371" s="24" t="b">
        <f aca="false">A371&lt;=Inputs!$B$17</f>
        <v>0</v>
      </c>
      <c r="C371" s="25" t="n">
        <f aca="false">C370*(1-Inputs!$B$22)</f>
        <v>0.00978477624261903</v>
      </c>
      <c r="D371" s="26" t="n">
        <f aca="false">IF(B371,C371*(VLOOKUP("50",Inputs!$A$29:$K$33,3,FALSE())*(Inputs!$B$25/14)*Inputs!$B$5+VLOOKUP("50",Inputs!$A$29:$K$33,4,FALSE())*(Inputs!$B$25/14)*Inputs!$B$12+VLOOKUP("50",Inputs!$A$29:$K$33,5,FALSE())*(Inputs!$B$25/14)*Inputs!$B$13)+(1-C371)*(VLOOKUP("50",Inputs!$A$29:$K$33,6,FALSE())*(Inputs!$B$25/14)*Inputs!$B$5+VLOOKUP("50",Inputs!$A$29:$K$33,7,FALSE())*(Inputs!$B$25/14)*Inputs!$B$12+VLOOKUP("50",Inputs!$A$29:$K$33,8,FALSE())*(Inputs!$B$25/14)*Inputs!$B$13),C371*((VLOOKUP("50",Inputs!$A$29:$K$33,3,FALSE())*(Inputs!$B$25/14)*Inputs!$B$5+VLOOKUP("50",Inputs!$A$29:$K$33,4,FALSE())*(Inputs!$B$25/14)*Inputs!$B$12+VLOOKUP("50",Inputs!$A$29:$K$33,5,FALSE())*(Inputs!$B$25/14)*Inputs!$B$13)+Inputs!$B$18)+(1-C371)*((INDEX(Inputs!$A$37:$C$37,1,1)*(Inputs!$B$25/14)*Inputs!$B$5+INDEX(Inputs!$A$37:$C$37,1,2)*(Inputs!$B$25/14)*Inputs!$B$12+INDEX(Inputs!$A$37:$C$37,1,3)*(Inputs!$B$25/14)*Inputs!$B$13)))</f>
        <v>327.49891193014</v>
      </c>
      <c r="E371" s="25" t="n">
        <f aca="false">0</f>
        <v>0</v>
      </c>
      <c r="F37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72" customFormat="false" ht="15" hidden="false" customHeight="true" outlineLevel="0" collapsed="false">
      <c r="A372" s="23" t="n">
        <v>12</v>
      </c>
      <c r="B372" s="24" t="b">
        <f aca="false">A372&lt;=Inputs!$B$17</f>
        <v>0</v>
      </c>
      <c r="C372" s="25" t="n">
        <f aca="false">C371*(1-Inputs!$B$22)</f>
        <v>0.00675149560740713</v>
      </c>
      <c r="D372" s="26" t="n">
        <f aca="false">IF(B372,C372*(VLOOKUP("50",Inputs!$A$29:$K$33,3,FALSE())*(Inputs!$B$25/14)*Inputs!$B$5+VLOOKUP("50",Inputs!$A$29:$K$33,4,FALSE())*(Inputs!$B$25/14)*Inputs!$B$12+VLOOKUP("50",Inputs!$A$29:$K$33,5,FALSE())*(Inputs!$B$25/14)*Inputs!$B$13)+(1-C372)*(VLOOKUP("50",Inputs!$A$29:$K$33,6,FALSE())*(Inputs!$B$25/14)*Inputs!$B$5+VLOOKUP("50",Inputs!$A$29:$K$33,7,FALSE())*(Inputs!$B$25/14)*Inputs!$B$12+VLOOKUP("50",Inputs!$A$29:$K$33,8,FALSE())*(Inputs!$B$25/14)*Inputs!$B$13),C372*((VLOOKUP("50",Inputs!$A$29:$K$33,3,FALSE())*(Inputs!$B$25/14)*Inputs!$B$5+VLOOKUP("50",Inputs!$A$29:$K$33,4,FALSE())*(Inputs!$B$25/14)*Inputs!$B$12+VLOOKUP("50",Inputs!$A$29:$K$33,5,FALSE())*(Inputs!$B$25/14)*Inputs!$B$13)+Inputs!$B$18)+(1-C372)*((INDEX(Inputs!$A$37:$C$37,1,1)*(Inputs!$B$25/14)*Inputs!$B$5+INDEX(Inputs!$A$37:$C$37,1,2)*(Inputs!$B$25/14)*Inputs!$B$12+INDEX(Inputs!$A$37:$C$37,1,3)*(Inputs!$B$25/14)*Inputs!$B$13)))</f>
        <v>327.528988092288</v>
      </c>
      <c r="E372" s="25" t="n">
        <f aca="false">0</f>
        <v>0</v>
      </c>
      <c r="F37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73" customFormat="false" ht="15" hidden="false" customHeight="true" outlineLevel="0" collapsed="false">
      <c r="A373" s="27" t="s">
        <v>125</v>
      </c>
      <c r="D373" s="28" t="n">
        <f aca="false">SUM(D361:D372)</f>
        <v>3488.18837596269</v>
      </c>
      <c r="F373" s="28" t="n">
        <f aca="false">SUM(F361:F372)</f>
        <v>3913.03653761406</v>
      </c>
    </row>
    <row r="375" customFormat="false" ht="15" hidden="false" customHeight="true" outlineLevel="0" collapsed="false">
      <c r="A375" s="27" t="s">
        <v>170</v>
      </c>
    </row>
    <row r="376" customFormat="false" ht="21.75" hidden="false" customHeight="true" outlineLevel="0" collapsed="false">
      <c r="A376" s="43" t="s">
        <v>92</v>
      </c>
      <c r="B376" s="43" t="s">
        <v>145</v>
      </c>
      <c r="C376" s="43" t="s">
        <v>146</v>
      </c>
      <c r="D376" s="43" t="s">
        <v>147</v>
      </c>
      <c r="E376" s="43" t="s">
        <v>148</v>
      </c>
      <c r="F376" s="43" t="s">
        <v>149</v>
      </c>
    </row>
    <row r="377" customFormat="false" ht="15" hidden="false" customHeight="true" outlineLevel="0" collapsed="false">
      <c r="A377" s="23" t="n">
        <v>1</v>
      </c>
      <c r="B377" s="24" t="b">
        <f aca="false">A377&lt;=Inputs!$B$17</f>
        <v>1</v>
      </c>
      <c r="C377" s="25" t="n">
        <f aca="false">VLOOKUP("50",Inputs!$A$29:$K$33,2,FALSE())</f>
        <v>0.4</v>
      </c>
      <c r="D377" s="26" t="n">
        <f aca="false">IF(B377,C377*(VLOOKUP("50",Inputs!$A$29:$K$33,3,FALSE())*(Inputs!$B$25/14)*Inputs!$B$5+VLOOKUP("50",Inputs!$A$29:$K$33,4,FALSE())*(Inputs!$B$25/14)*Inputs!$B$12+VLOOKUP("50",Inputs!$A$29:$K$33,5,FALSE())*(Inputs!$B$25/14)*Inputs!$B$13)+(1-C377)*(VLOOKUP("50",Inputs!$A$29:$K$33,6,FALSE())*(Inputs!$B$25/14)*Inputs!$B$5+VLOOKUP("50",Inputs!$A$29:$K$33,7,FALSE())*(Inputs!$B$25/14)*Inputs!$B$12+VLOOKUP("50",Inputs!$A$29:$K$33,8,FALSE())*(Inputs!$B$25/14)*Inputs!$B$13),C377*((VLOOKUP("50",Inputs!$A$29:$K$33,3,FALSE())*(Inputs!$B$25/14)*Inputs!$B$5+VLOOKUP("50",Inputs!$A$29:$K$33,4,FALSE())*(Inputs!$B$25/14)*Inputs!$B$12+VLOOKUP("50",Inputs!$A$29:$K$33,5,FALSE())*(Inputs!$B$25/14)*Inputs!$B$13)+Inputs!$B$18)+(1-C377)*((VLOOKUP("50",Inputs!$A$29:$K$33,9,FALSE())*(Inputs!$B$25/14)*Inputs!$B$5+VLOOKUP("50",Inputs!$A$29:$K$33,10,FALSE())*(Inputs!$B$25/14)*Inputs!$B$12+VLOOKUP("50",Inputs!$A$29:$K$33,11,FALSE())*(Inputs!$B$25/14)*Inputs!$B$13)))</f>
        <v>170.045006016964</v>
      </c>
      <c r="E377" s="25" t="n">
        <f aca="false">Inputs!$B$21</f>
        <v>0.083</v>
      </c>
      <c r="F377" s="26" t="n">
        <f aca="false">E377*(VLOOKUP("50",Inputs!$A$29:$K$33,3,FALSE())*(Inputs!$B$25/14)*Inputs!$B$5+VLOOKUP("50",Inputs!$A$29:$K$33,4,FALSE())*(Inputs!$B$25/14)*Inputs!$B$12+VLOOKUP("50",Inputs!$A$29:$K$33,5,FALSE())*(Inputs!$B$25/14)*Inputs!$B$13)+(1-E377)*(INDEX(Inputs!$A$37:$C$37,1,1)*(Inputs!$B$25/14)*Inputs!$B$5+INDEX(Inputs!$A$37:$C$37,1,2)*(Inputs!$B$25/14)*Inputs!$B$12+INDEX(Inputs!$A$37:$C$37,1,3)*(Inputs!$B$25/14)*Inputs!$B$13)</f>
        <v>309.48128772567</v>
      </c>
    </row>
    <row r="378" customFormat="false" ht="15" hidden="false" customHeight="true" outlineLevel="0" collapsed="false">
      <c r="A378" s="23" t="n">
        <v>2</v>
      </c>
      <c r="B378" s="24" t="b">
        <f aca="false">A378&lt;=Inputs!$B$17</f>
        <v>1</v>
      </c>
      <c r="C378" s="25" t="n">
        <f aca="false">C377*(1-Inputs!$B$22)</f>
        <v>0.276</v>
      </c>
      <c r="D378" s="26" t="n">
        <f aca="false">IF(B378,C378*(VLOOKUP("50",Inputs!$A$29:$K$33,3,FALSE())*(Inputs!$B$25/14)*Inputs!$B$5+VLOOKUP("50",Inputs!$A$29:$K$33,4,FALSE())*(Inputs!$B$25/14)*Inputs!$B$12+VLOOKUP("50",Inputs!$A$29:$K$33,5,FALSE())*(Inputs!$B$25/14)*Inputs!$B$13)+(1-C378)*(VLOOKUP("50",Inputs!$A$29:$K$33,6,FALSE())*(Inputs!$B$25/14)*Inputs!$B$5+VLOOKUP("50",Inputs!$A$29:$K$33,7,FALSE())*(Inputs!$B$25/14)*Inputs!$B$12+VLOOKUP("50",Inputs!$A$29:$K$33,8,FALSE())*(Inputs!$B$25/14)*Inputs!$B$13),C378*((VLOOKUP("50",Inputs!$A$29:$K$33,3,FALSE())*(Inputs!$B$25/14)*Inputs!$B$5+VLOOKUP("50",Inputs!$A$29:$K$33,4,FALSE())*(Inputs!$B$25/14)*Inputs!$B$12+VLOOKUP("50",Inputs!$A$29:$K$33,5,FALSE())*(Inputs!$B$25/14)*Inputs!$B$13)+Inputs!$B$18)+(1-C378)*((VLOOKUP("50",Inputs!$A$29:$K$33,9,FALSE())*(Inputs!$B$25/14)*Inputs!$B$5+VLOOKUP("50",Inputs!$A$29:$K$33,10,FALSE())*(Inputs!$B$25/14)*Inputs!$B$12+VLOOKUP("50",Inputs!$A$29:$K$33,11,FALSE())*(Inputs!$B$25/14)*Inputs!$B$13)))</f>
        <v>182.589217622821</v>
      </c>
      <c r="E378" s="25" t="n">
        <f aca="false">0</f>
        <v>0</v>
      </c>
      <c r="F37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79" customFormat="false" ht="15" hidden="false" customHeight="true" outlineLevel="0" collapsed="false">
      <c r="A379" s="23" t="n">
        <v>3</v>
      </c>
      <c r="B379" s="24" t="b">
        <f aca="false">A379&lt;=Inputs!$B$17</f>
        <v>1</v>
      </c>
      <c r="C379" s="25" t="n">
        <f aca="false">C378*(1-Inputs!$B$22)</f>
        <v>0.19044</v>
      </c>
      <c r="D379" s="26" t="n">
        <f aca="false">IF(B379,C379*(VLOOKUP("50",Inputs!$A$29:$K$33,3,FALSE())*(Inputs!$B$25/14)*Inputs!$B$5+VLOOKUP("50",Inputs!$A$29:$K$33,4,FALSE())*(Inputs!$B$25/14)*Inputs!$B$12+VLOOKUP("50",Inputs!$A$29:$K$33,5,FALSE())*(Inputs!$B$25/14)*Inputs!$B$13)+(1-C379)*(VLOOKUP("50",Inputs!$A$29:$K$33,6,FALSE())*(Inputs!$B$25/14)*Inputs!$B$5+VLOOKUP("50",Inputs!$A$29:$K$33,7,FALSE())*(Inputs!$B$25/14)*Inputs!$B$12+VLOOKUP("50",Inputs!$A$29:$K$33,8,FALSE())*(Inputs!$B$25/14)*Inputs!$B$13),C379*((VLOOKUP("50",Inputs!$A$29:$K$33,3,FALSE())*(Inputs!$B$25/14)*Inputs!$B$5+VLOOKUP("50",Inputs!$A$29:$K$33,4,FALSE())*(Inputs!$B$25/14)*Inputs!$B$12+VLOOKUP("50",Inputs!$A$29:$K$33,5,FALSE())*(Inputs!$B$25/14)*Inputs!$B$13)+Inputs!$B$18)+(1-C379)*((VLOOKUP("50",Inputs!$A$29:$K$33,9,FALSE())*(Inputs!$B$25/14)*Inputs!$B$5+VLOOKUP("50",Inputs!$A$29:$K$33,10,FALSE())*(Inputs!$B$25/14)*Inputs!$B$12+VLOOKUP("50",Inputs!$A$29:$K$33,11,FALSE())*(Inputs!$B$25/14)*Inputs!$B$13)))</f>
        <v>191.244723630863</v>
      </c>
      <c r="E379" s="25" t="n">
        <f aca="false">0</f>
        <v>0</v>
      </c>
      <c r="F37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0" customFormat="false" ht="15" hidden="false" customHeight="true" outlineLevel="0" collapsed="false">
      <c r="A380" s="23" t="n">
        <v>4</v>
      </c>
      <c r="B380" s="24" t="b">
        <f aca="false">A380&lt;=Inputs!$B$17</f>
        <v>0</v>
      </c>
      <c r="C380" s="25" t="n">
        <f aca="false">C379*(1-Inputs!$B$22)</f>
        <v>0.1314036</v>
      </c>
      <c r="D380" s="26" t="n">
        <f aca="false">IF(B380,C380*(VLOOKUP("50",Inputs!$A$29:$K$33,3,FALSE())*(Inputs!$B$25/14)*Inputs!$B$5+VLOOKUP("50",Inputs!$A$29:$K$33,4,FALSE())*(Inputs!$B$25/14)*Inputs!$B$12+VLOOKUP("50",Inputs!$A$29:$K$33,5,FALSE())*(Inputs!$B$25/14)*Inputs!$B$13)+(1-C380)*(VLOOKUP("50",Inputs!$A$29:$K$33,6,FALSE())*(Inputs!$B$25/14)*Inputs!$B$5+VLOOKUP("50",Inputs!$A$29:$K$33,7,FALSE())*(Inputs!$B$25/14)*Inputs!$B$12+VLOOKUP("50",Inputs!$A$29:$K$33,8,FALSE())*(Inputs!$B$25/14)*Inputs!$B$13),C380*((VLOOKUP("50",Inputs!$A$29:$K$33,3,FALSE())*(Inputs!$B$25/14)*Inputs!$B$5+VLOOKUP("50",Inputs!$A$29:$K$33,4,FALSE())*(Inputs!$B$25/14)*Inputs!$B$12+VLOOKUP("50",Inputs!$A$29:$K$33,5,FALSE())*(Inputs!$B$25/14)*Inputs!$B$13)+Inputs!$B$18)+(1-C380)*((VLOOKUP("50",Inputs!$A$29:$K$33,9,FALSE())*(Inputs!$B$25/14)*Inputs!$B$5+VLOOKUP("50",Inputs!$A$29:$K$33,10,FALSE())*(Inputs!$B$25/14)*Inputs!$B$12+VLOOKUP("50",Inputs!$A$29:$K$33,11,FALSE())*(Inputs!$B$25/14)*Inputs!$B$13)))</f>
        <v>262.597175140547</v>
      </c>
      <c r="E380" s="25" t="n">
        <f aca="false">0</f>
        <v>0</v>
      </c>
      <c r="F38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1" customFormat="false" ht="15" hidden="false" customHeight="true" outlineLevel="0" collapsed="false">
      <c r="A381" s="23" t="n">
        <v>5</v>
      </c>
      <c r="B381" s="24" t="b">
        <f aca="false">A381&lt;=Inputs!$B$17</f>
        <v>0</v>
      </c>
      <c r="C381" s="25" t="n">
        <f aca="false">C380*(1-Inputs!$B$22)</f>
        <v>0.090668484</v>
      </c>
      <c r="D381" s="26" t="n">
        <f aca="false">IF(B381,C381*(VLOOKUP("50",Inputs!$A$29:$K$33,3,FALSE())*(Inputs!$B$25/14)*Inputs!$B$5+VLOOKUP("50",Inputs!$A$29:$K$33,4,FALSE())*(Inputs!$B$25/14)*Inputs!$B$12+VLOOKUP("50",Inputs!$A$29:$K$33,5,FALSE())*(Inputs!$B$25/14)*Inputs!$B$13)+(1-C381)*(VLOOKUP("50",Inputs!$A$29:$K$33,6,FALSE())*(Inputs!$B$25/14)*Inputs!$B$5+VLOOKUP("50",Inputs!$A$29:$K$33,7,FALSE())*(Inputs!$B$25/14)*Inputs!$B$12+VLOOKUP("50",Inputs!$A$29:$K$33,8,FALSE())*(Inputs!$B$25/14)*Inputs!$B$13),C381*((VLOOKUP("50",Inputs!$A$29:$K$33,3,FALSE())*(Inputs!$B$25/14)*Inputs!$B$5+VLOOKUP("50",Inputs!$A$29:$K$33,4,FALSE())*(Inputs!$B$25/14)*Inputs!$B$12+VLOOKUP("50",Inputs!$A$29:$K$33,5,FALSE())*(Inputs!$B$25/14)*Inputs!$B$13)+Inputs!$B$18)+(1-C381)*((VLOOKUP("50",Inputs!$A$29:$K$33,9,FALSE())*(Inputs!$B$25/14)*Inputs!$B$5+VLOOKUP("50",Inputs!$A$29:$K$33,10,FALSE())*(Inputs!$B$25/14)*Inputs!$B$12+VLOOKUP("50",Inputs!$A$29:$K$33,11,FALSE())*(Inputs!$B$25/14)*Inputs!$B$13)))</f>
        <v>260.013895600772</v>
      </c>
      <c r="E381" s="25" t="n">
        <f aca="false">0</f>
        <v>0</v>
      </c>
      <c r="F38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2" customFormat="false" ht="15" hidden="false" customHeight="true" outlineLevel="0" collapsed="false">
      <c r="A382" s="23" t="n">
        <v>6</v>
      </c>
      <c r="B382" s="24" t="b">
        <f aca="false">A382&lt;=Inputs!$B$17</f>
        <v>0</v>
      </c>
      <c r="C382" s="25" t="n">
        <f aca="false">C381*(1-Inputs!$B$22)</f>
        <v>0.06256125396</v>
      </c>
      <c r="D382" s="26" t="n">
        <f aca="false">IF(B382,C382*(VLOOKUP("50",Inputs!$A$29:$K$33,3,FALSE())*(Inputs!$B$25/14)*Inputs!$B$5+VLOOKUP("50",Inputs!$A$29:$K$33,4,FALSE())*(Inputs!$B$25/14)*Inputs!$B$12+VLOOKUP("50",Inputs!$A$29:$K$33,5,FALSE())*(Inputs!$B$25/14)*Inputs!$B$13)+(1-C382)*(VLOOKUP("50",Inputs!$A$29:$K$33,6,FALSE())*(Inputs!$B$25/14)*Inputs!$B$5+VLOOKUP("50",Inputs!$A$29:$K$33,7,FALSE())*(Inputs!$B$25/14)*Inputs!$B$12+VLOOKUP("50",Inputs!$A$29:$K$33,8,FALSE())*(Inputs!$B$25/14)*Inputs!$B$13),C382*((VLOOKUP("50",Inputs!$A$29:$K$33,3,FALSE())*(Inputs!$B$25/14)*Inputs!$B$5+VLOOKUP("50",Inputs!$A$29:$K$33,4,FALSE())*(Inputs!$B$25/14)*Inputs!$B$12+VLOOKUP("50",Inputs!$A$29:$K$33,5,FALSE())*(Inputs!$B$25/14)*Inputs!$B$13)+Inputs!$B$18)+(1-C382)*((VLOOKUP("50",Inputs!$A$29:$K$33,9,FALSE())*(Inputs!$B$25/14)*Inputs!$B$5+VLOOKUP("50",Inputs!$A$29:$K$33,10,FALSE())*(Inputs!$B$25/14)*Inputs!$B$12+VLOOKUP("50",Inputs!$A$29:$K$33,11,FALSE())*(Inputs!$B$25/14)*Inputs!$B$13)))</f>
        <v>258.231432718327</v>
      </c>
      <c r="E382" s="25" t="n">
        <f aca="false">0</f>
        <v>0</v>
      </c>
      <c r="F38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3" customFormat="false" ht="15" hidden="false" customHeight="true" outlineLevel="0" collapsed="false">
      <c r="A383" s="23" t="n">
        <v>7</v>
      </c>
      <c r="B383" s="24" t="b">
        <f aca="false">A383&lt;=Inputs!$B$17</f>
        <v>0</v>
      </c>
      <c r="C383" s="25" t="n">
        <f aca="false">C382*(1-Inputs!$B$22)</f>
        <v>0.0431672652324</v>
      </c>
      <c r="D383" s="26" t="n">
        <f aca="false">IF(B383,C383*(VLOOKUP("50",Inputs!$A$29:$K$33,3,FALSE())*(Inputs!$B$25/14)*Inputs!$B$5+VLOOKUP("50",Inputs!$A$29:$K$33,4,FALSE())*(Inputs!$B$25/14)*Inputs!$B$12+VLOOKUP("50",Inputs!$A$29:$K$33,5,FALSE())*(Inputs!$B$25/14)*Inputs!$B$13)+(1-C383)*(VLOOKUP("50",Inputs!$A$29:$K$33,6,FALSE())*(Inputs!$B$25/14)*Inputs!$B$5+VLOOKUP("50",Inputs!$A$29:$K$33,7,FALSE())*(Inputs!$B$25/14)*Inputs!$B$12+VLOOKUP("50",Inputs!$A$29:$K$33,8,FALSE())*(Inputs!$B$25/14)*Inputs!$B$13),C383*((VLOOKUP("50",Inputs!$A$29:$K$33,3,FALSE())*(Inputs!$B$25/14)*Inputs!$B$5+VLOOKUP("50",Inputs!$A$29:$K$33,4,FALSE())*(Inputs!$B$25/14)*Inputs!$B$12+VLOOKUP("50",Inputs!$A$29:$K$33,5,FALSE())*(Inputs!$B$25/14)*Inputs!$B$13)+Inputs!$B$18)+(1-C383)*((VLOOKUP("50",Inputs!$A$29:$K$33,9,FALSE())*(Inputs!$B$25/14)*Inputs!$B$5+VLOOKUP("50",Inputs!$A$29:$K$33,10,FALSE())*(Inputs!$B$25/14)*Inputs!$B$12+VLOOKUP("50",Inputs!$A$29:$K$33,11,FALSE())*(Inputs!$B$25/14)*Inputs!$B$13)))</f>
        <v>257.00153332944</v>
      </c>
      <c r="E383" s="25" t="n">
        <f aca="false">0</f>
        <v>0</v>
      </c>
      <c r="F38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4" customFormat="false" ht="15" hidden="false" customHeight="true" outlineLevel="0" collapsed="false">
      <c r="A384" s="23" t="n">
        <v>8</v>
      </c>
      <c r="B384" s="24" t="b">
        <f aca="false">A384&lt;=Inputs!$B$17</f>
        <v>0</v>
      </c>
      <c r="C384" s="25" t="n">
        <f aca="false">C383*(1-Inputs!$B$22)</f>
        <v>0.029785413010356</v>
      </c>
      <c r="D384" s="26" t="n">
        <f aca="false">IF(B384,C384*(VLOOKUP("50",Inputs!$A$29:$K$33,3,FALSE())*(Inputs!$B$25/14)*Inputs!$B$5+VLOOKUP("50",Inputs!$A$29:$K$33,4,FALSE())*(Inputs!$B$25/14)*Inputs!$B$12+VLOOKUP("50",Inputs!$A$29:$K$33,5,FALSE())*(Inputs!$B$25/14)*Inputs!$B$13)+(1-C384)*(VLOOKUP("50",Inputs!$A$29:$K$33,6,FALSE())*(Inputs!$B$25/14)*Inputs!$B$5+VLOOKUP("50",Inputs!$A$29:$K$33,7,FALSE())*(Inputs!$B$25/14)*Inputs!$B$12+VLOOKUP("50",Inputs!$A$29:$K$33,8,FALSE())*(Inputs!$B$25/14)*Inputs!$B$13),C384*((VLOOKUP("50",Inputs!$A$29:$K$33,3,FALSE())*(Inputs!$B$25/14)*Inputs!$B$5+VLOOKUP("50",Inputs!$A$29:$K$33,4,FALSE())*(Inputs!$B$25/14)*Inputs!$B$12+VLOOKUP("50",Inputs!$A$29:$K$33,5,FALSE())*(Inputs!$B$25/14)*Inputs!$B$13)+Inputs!$B$18)+(1-C384)*((VLOOKUP("50",Inputs!$A$29:$K$33,9,FALSE())*(Inputs!$B$25/14)*Inputs!$B$5+VLOOKUP("50",Inputs!$A$29:$K$33,10,FALSE())*(Inputs!$B$25/14)*Inputs!$B$12+VLOOKUP("50",Inputs!$A$29:$K$33,11,FALSE())*(Inputs!$B$25/14)*Inputs!$B$13)))</f>
        <v>256.152902751109</v>
      </c>
      <c r="E384" s="25" t="n">
        <f aca="false">0</f>
        <v>0</v>
      </c>
      <c r="F38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5" customFormat="false" ht="15" hidden="false" customHeight="true" outlineLevel="0" collapsed="false">
      <c r="A385" s="23" t="n">
        <v>9</v>
      </c>
      <c r="B385" s="24" t="b">
        <f aca="false">A385&lt;=Inputs!$B$17</f>
        <v>0</v>
      </c>
      <c r="C385" s="25" t="n">
        <f aca="false">C384*(1-Inputs!$B$22)</f>
        <v>0.0205519349771456</v>
      </c>
      <c r="D385" s="26" t="n">
        <f aca="false">IF(B385,C385*(VLOOKUP("50",Inputs!$A$29:$K$33,3,FALSE())*(Inputs!$B$25/14)*Inputs!$B$5+VLOOKUP("50",Inputs!$A$29:$K$33,4,FALSE())*(Inputs!$B$25/14)*Inputs!$B$12+VLOOKUP("50",Inputs!$A$29:$K$33,5,FALSE())*(Inputs!$B$25/14)*Inputs!$B$13)+(1-C385)*(VLOOKUP("50",Inputs!$A$29:$K$33,6,FALSE())*(Inputs!$B$25/14)*Inputs!$B$5+VLOOKUP("50",Inputs!$A$29:$K$33,7,FALSE())*(Inputs!$B$25/14)*Inputs!$B$12+VLOOKUP("50",Inputs!$A$29:$K$33,8,FALSE())*(Inputs!$B$25/14)*Inputs!$B$13),C385*((VLOOKUP("50",Inputs!$A$29:$K$33,3,FALSE())*(Inputs!$B$25/14)*Inputs!$B$5+VLOOKUP("50",Inputs!$A$29:$K$33,4,FALSE())*(Inputs!$B$25/14)*Inputs!$B$12+VLOOKUP("50",Inputs!$A$29:$K$33,5,FALSE())*(Inputs!$B$25/14)*Inputs!$B$13)+Inputs!$B$18)+(1-C385)*((VLOOKUP("50",Inputs!$A$29:$K$33,9,FALSE())*(Inputs!$B$25/14)*Inputs!$B$5+VLOOKUP("50",Inputs!$A$29:$K$33,10,FALSE())*(Inputs!$B$25/14)*Inputs!$B$12+VLOOKUP("50",Inputs!$A$29:$K$33,11,FALSE())*(Inputs!$B$25/14)*Inputs!$B$13)))</f>
        <v>255.56734765206</v>
      </c>
      <c r="E385" s="25" t="n">
        <f aca="false">0</f>
        <v>0</v>
      </c>
      <c r="F38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6" customFormat="false" ht="15" hidden="false" customHeight="true" outlineLevel="0" collapsed="false">
      <c r="A386" s="23" t="n">
        <v>10</v>
      </c>
      <c r="B386" s="24" t="b">
        <f aca="false">A386&lt;=Inputs!$B$17</f>
        <v>0</v>
      </c>
      <c r="C386" s="25" t="n">
        <f aca="false">C385*(1-Inputs!$B$22)</f>
        <v>0.0141808351342305</v>
      </c>
      <c r="D386" s="26" t="n">
        <f aca="false">IF(B386,C386*(VLOOKUP("50",Inputs!$A$29:$K$33,3,FALSE())*(Inputs!$B$25/14)*Inputs!$B$5+VLOOKUP("50",Inputs!$A$29:$K$33,4,FALSE())*(Inputs!$B$25/14)*Inputs!$B$12+VLOOKUP("50",Inputs!$A$29:$K$33,5,FALSE())*(Inputs!$B$25/14)*Inputs!$B$13)+(1-C386)*(VLOOKUP("50",Inputs!$A$29:$K$33,6,FALSE())*(Inputs!$B$25/14)*Inputs!$B$5+VLOOKUP("50",Inputs!$A$29:$K$33,7,FALSE())*(Inputs!$B$25/14)*Inputs!$B$12+VLOOKUP("50",Inputs!$A$29:$K$33,8,FALSE())*(Inputs!$B$25/14)*Inputs!$B$13),C386*((VLOOKUP("50",Inputs!$A$29:$K$33,3,FALSE())*(Inputs!$B$25/14)*Inputs!$B$5+VLOOKUP("50",Inputs!$A$29:$K$33,4,FALSE())*(Inputs!$B$25/14)*Inputs!$B$12+VLOOKUP("50",Inputs!$A$29:$K$33,5,FALSE())*(Inputs!$B$25/14)*Inputs!$B$13)+Inputs!$B$18)+(1-C386)*((VLOOKUP("50",Inputs!$A$29:$K$33,9,FALSE())*(Inputs!$B$25/14)*Inputs!$B$5+VLOOKUP("50",Inputs!$A$29:$K$33,10,FALSE())*(Inputs!$B$25/14)*Inputs!$B$12+VLOOKUP("50",Inputs!$A$29:$K$33,11,FALSE())*(Inputs!$B$25/14)*Inputs!$B$13)))</f>
        <v>255.163314633716</v>
      </c>
      <c r="E386" s="25" t="n">
        <f aca="false">0</f>
        <v>0</v>
      </c>
      <c r="F38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7" customFormat="false" ht="15" hidden="false" customHeight="true" outlineLevel="0" collapsed="false">
      <c r="A387" s="23" t="n">
        <v>11</v>
      </c>
      <c r="B387" s="24" t="b">
        <f aca="false">A387&lt;=Inputs!$B$17</f>
        <v>0</v>
      </c>
      <c r="C387" s="25" t="n">
        <f aca="false">C386*(1-Inputs!$B$22)</f>
        <v>0.00978477624261903</v>
      </c>
      <c r="D387" s="26" t="n">
        <f aca="false">IF(B387,C387*(VLOOKUP("50",Inputs!$A$29:$K$33,3,FALSE())*(Inputs!$B$25/14)*Inputs!$B$5+VLOOKUP("50",Inputs!$A$29:$K$33,4,FALSE())*(Inputs!$B$25/14)*Inputs!$B$12+VLOOKUP("50",Inputs!$A$29:$K$33,5,FALSE())*(Inputs!$B$25/14)*Inputs!$B$13)+(1-C387)*(VLOOKUP("50",Inputs!$A$29:$K$33,6,FALSE())*(Inputs!$B$25/14)*Inputs!$B$5+VLOOKUP("50",Inputs!$A$29:$K$33,7,FALSE())*(Inputs!$B$25/14)*Inputs!$B$12+VLOOKUP("50",Inputs!$A$29:$K$33,8,FALSE())*(Inputs!$B$25/14)*Inputs!$B$13),C387*((VLOOKUP("50",Inputs!$A$29:$K$33,3,FALSE())*(Inputs!$B$25/14)*Inputs!$B$5+VLOOKUP("50",Inputs!$A$29:$K$33,4,FALSE())*(Inputs!$B$25/14)*Inputs!$B$12+VLOOKUP("50",Inputs!$A$29:$K$33,5,FALSE())*(Inputs!$B$25/14)*Inputs!$B$13)+Inputs!$B$18)+(1-C387)*((VLOOKUP("50",Inputs!$A$29:$K$33,9,FALSE())*(Inputs!$B$25/14)*Inputs!$B$5+VLOOKUP("50",Inputs!$A$29:$K$33,10,FALSE())*(Inputs!$B$25/14)*Inputs!$B$12+VLOOKUP("50",Inputs!$A$29:$K$33,11,FALSE())*(Inputs!$B$25/14)*Inputs!$B$13)))</f>
        <v>254.884531851058</v>
      </c>
      <c r="E387" s="25" t="n">
        <f aca="false">0</f>
        <v>0</v>
      </c>
      <c r="F38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8" customFormat="false" ht="15" hidden="false" customHeight="true" outlineLevel="0" collapsed="false">
      <c r="A388" s="23" t="n">
        <v>12</v>
      </c>
      <c r="B388" s="24" t="b">
        <f aca="false">A388&lt;=Inputs!$B$17</f>
        <v>0</v>
      </c>
      <c r="C388" s="25" t="n">
        <f aca="false">C387*(1-Inputs!$B$22)</f>
        <v>0.00675149560740713</v>
      </c>
      <c r="D388" s="26" t="n">
        <f aca="false">IF(B388,C388*(VLOOKUP("50",Inputs!$A$29:$K$33,3,FALSE())*(Inputs!$B$25/14)*Inputs!$B$5+VLOOKUP("50",Inputs!$A$29:$K$33,4,FALSE())*(Inputs!$B$25/14)*Inputs!$B$12+VLOOKUP("50",Inputs!$A$29:$K$33,5,FALSE())*(Inputs!$B$25/14)*Inputs!$B$13)+(1-C388)*(VLOOKUP("50",Inputs!$A$29:$K$33,6,FALSE())*(Inputs!$B$25/14)*Inputs!$B$5+VLOOKUP("50",Inputs!$A$29:$K$33,7,FALSE())*(Inputs!$B$25/14)*Inputs!$B$12+VLOOKUP("50",Inputs!$A$29:$K$33,8,FALSE())*(Inputs!$B$25/14)*Inputs!$B$13),C388*((VLOOKUP("50",Inputs!$A$29:$K$33,3,FALSE())*(Inputs!$B$25/14)*Inputs!$B$5+VLOOKUP("50",Inputs!$A$29:$K$33,4,FALSE())*(Inputs!$B$25/14)*Inputs!$B$12+VLOOKUP("50",Inputs!$A$29:$K$33,5,FALSE())*(Inputs!$B$25/14)*Inputs!$B$13)+Inputs!$B$18)+(1-C388)*((VLOOKUP("50",Inputs!$A$29:$K$33,9,FALSE())*(Inputs!$B$25/14)*Inputs!$B$5+VLOOKUP("50",Inputs!$A$29:$K$33,10,FALSE())*(Inputs!$B$25/14)*Inputs!$B$12+VLOOKUP("50",Inputs!$A$29:$K$33,11,FALSE())*(Inputs!$B$25/14)*Inputs!$B$13)))</f>
        <v>254.692171731025</v>
      </c>
      <c r="E388" s="25" t="n">
        <f aca="false">0</f>
        <v>0</v>
      </c>
      <c r="F38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89" customFormat="false" ht="15" hidden="false" customHeight="true" outlineLevel="0" collapsed="false">
      <c r="A389" s="27" t="s">
        <v>125</v>
      </c>
      <c r="D389" s="28" t="n">
        <f aca="false">SUM(D377:D388)</f>
        <v>2858.1832526787</v>
      </c>
      <c r="F389" s="28" t="n">
        <f aca="false">SUM(F377:F388)</f>
        <v>3913.03653761406</v>
      </c>
    </row>
    <row r="391" customFormat="false" ht="15" hidden="false" customHeight="true" outlineLevel="0" collapsed="false">
      <c r="A391" s="27" t="s">
        <v>171</v>
      </c>
    </row>
    <row r="392" customFormat="false" ht="21.75" hidden="false" customHeight="true" outlineLevel="0" collapsed="false">
      <c r="A392" s="43" t="s">
        <v>92</v>
      </c>
      <c r="B392" s="43" t="s">
        <v>145</v>
      </c>
      <c r="C392" s="43" t="s">
        <v>146</v>
      </c>
      <c r="D392" s="43" t="s">
        <v>147</v>
      </c>
      <c r="E392" s="43" t="s">
        <v>148</v>
      </c>
      <c r="F392" s="43" t="s">
        <v>149</v>
      </c>
    </row>
    <row r="393" customFormat="false" ht="15" hidden="false" customHeight="true" outlineLevel="0" collapsed="false">
      <c r="A393" s="23" t="n">
        <v>1</v>
      </c>
      <c r="B393" s="24" t="b">
        <f aca="false">A393&lt;=Inputs!$B$17</f>
        <v>1</v>
      </c>
      <c r="C393" s="25" t="n">
        <f aca="false">VLOOKUP("50",Inputs!$A$29:$K$33,2,FALSE())</f>
        <v>0.4</v>
      </c>
      <c r="D393" s="26" t="n">
        <f aca="false">IF(B393,C393*(VLOOKUP("50",Inputs!$A$29:$K$33,3,FALSE())*(Inputs!$B$25/14)*Inputs!$B$5+VLOOKUP("50",Inputs!$A$29:$K$33,4,FALSE())*(Inputs!$B$25/14)*Inputs!$B$12+VLOOKUP("50",Inputs!$A$29:$K$33,5,FALSE())*(Inputs!$B$25/14)*Inputs!$B$13)+(1-C393)*(VLOOKUP("50",Inputs!$A$29:$K$33,6,FALSE())*(Inputs!$B$25/14)*Inputs!$B$5+VLOOKUP("50",Inputs!$A$29:$K$33,7,FALSE())*(Inputs!$B$25/14)*Inputs!$B$12+VLOOKUP("50",Inputs!$A$29:$K$33,8,FALSE())*(Inputs!$B$25/14)*Inputs!$B$13),C393*((VLOOKUP("50",Inputs!$A$29:$K$33,3,FALSE())*(Inputs!$B$25/14)*Inputs!$B$5+VLOOKUP("50",Inputs!$A$29:$K$33,4,FALSE())*(Inputs!$B$25/14)*Inputs!$B$12+VLOOKUP("50",Inputs!$A$29:$K$33,5,FALSE())*(Inputs!$B$25/14)*Inputs!$B$13)+Inputs!$B$18)+(1-C393)*((INDEX(Inputs!$A$37:$C$37,1,1)*(Inputs!$B$25/14)*Inputs!$B$5+INDEX(Inputs!$A$37:$C$37,1,2)*(Inputs!$B$25/14)*Inputs!$B$12+INDEX(Inputs!$A$37:$C$37,1,3)*(Inputs!$B$25/14)*Inputs!$B$13)))</f>
        <v>170.045006016964</v>
      </c>
      <c r="E393" s="25" t="n">
        <f aca="false">Inputs!$B$21</f>
        <v>0.083</v>
      </c>
      <c r="F393" s="26" t="n">
        <f aca="false">E393*(VLOOKUP("50",Inputs!$A$29:$K$33,3,FALSE())*(Inputs!$B$25/14)*Inputs!$B$5+VLOOKUP("50",Inputs!$A$29:$K$33,4,FALSE())*(Inputs!$B$25/14)*Inputs!$B$12+VLOOKUP("50",Inputs!$A$29:$K$33,5,FALSE())*(Inputs!$B$25/14)*Inputs!$B$13)+(1-E393)*(INDEX(Inputs!$A$37:$C$37,1,1)*(Inputs!$B$25/14)*Inputs!$B$5+INDEX(Inputs!$A$37:$C$37,1,2)*(Inputs!$B$25/14)*Inputs!$B$12+INDEX(Inputs!$A$37:$C$37,1,3)*(Inputs!$B$25/14)*Inputs!$B$13)</f>
        <v>309.48128772567</v>
      </c>
    </row>
    <row r="394" customFormat="false" ht="15" hidden="false" customHeight="true" outlineLevel="0" collapsed="false">
      <c r="A394" s="23" t="n">
        <v>2</v>
      </c>
      <c r="B394" s="24" t="b">
        <f aca="false">A394&lt;=Inputs!$B$17</f>
        <v>1</v>
      </c>
      <c r="C394" s="25" t="n">
        <f aca="false">C393*(1-Inputs!$B$22*(0.9^(A394-2)))</f>
        <v>0.276</v>
      </c>
      <c r="D394" s="26" t="n">
        <f aca="false">IF(B394,C394*(VLOOKUP("50",Inputs!$A$29:$K$33,3,FALSE())*(Inputs!$B$25/14)*Inputs!$B$5+VLOOKUP("50",Inputs!$A$29:$K$33,4,FALSE())*(Inputs!$B$25/14)*Inputs!$B$12+VLOOKUP("50",Inputs!$A$29:$K$33,5,FALSE())*(Inputs!$B$25/14)*Inputs!$B$13)+(1-C394)*(VLOOKUP("50",Inputs!$A$29:$K$33,6,FALSE())*(Inputs!$B$25/14)*Inputs!$B$5+VLOOKUP("50",Inputs!$A$29:$K$33,7,FALSE())*(Inputs!$B$25/14)*Inputs!$B$12+VLOOKUP("50",Inputs!$A$29:$K$33,8,FALSE())*(Inputs!$B$25/14)*Inputs!$B$13),C394*((VLOOKUP("50",Inputs!$A$29:$K$33,3,FALSE())*(Inputs!$B$25/14)*Inputs!$B$5+VLOOKUP("50",Inputs!$A$29:$K$33,4,FALSE())*(Inputs!$B$25/14)*Inputs!$B$12+VLOOKUP("50",Inputs!$A$29:$K$33,5,FALSE())*(Inputs!$B$25/14)*Inputs!$B$13)+Inputs!$B$18)+(1-C394)*((INDEX(Inputs!$A$37:$C$37,1,1)*(Inputs!$B$25/14)*Inputs!$B$5+INDEX(Inputs!$A$37:$C$37,1,2)*(Inputs!$B$25/14)*Inputs!$B$12+INDEX(Inputs!$A$37:$C$37,1,3)*(Inputs!$B$25/14)*Inputs!$B$13)))</f>
        <v>182.589217622821</v>
      </c>
      <c r="E394" s="25" t="n">
        <f aca="false">0</f>
        <v>0</v>
      </c>
      <c r="F39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95" customFormat="false" ht="15" hidden="false" customHeight="true" outlineLevel="0" collapsed="false">
      <c r="A395" s="23" t="n">
        <v>3</v>
      </c>
      <c r="B395" s="24" t="b">
        <f aca="false">A395&lt;=Inputs!$B$17</f>
        <v>1</v>
      </c>
      <c r="C395" s="25" t="n">
        <f aca="false">C394*(1-Inputs!$B$22*(0.9^(A395-2)))</f>
        <v>0.198996</v>
      </c>
      <c r="D395" s="26" t="n">
        <f aca="false">IF(B395,C395*(VLOOKUP("50",Inputs!$A$29:$K$33,3,FALSE())*(Inputs!$B$25/14)*Inputs!$B$5+VLOOKUP("50",Inputs!$A$29:$K$33,4,FALSE())*(Inputs!$B$25/14)*Inputs!$B$12+VLOOKUP("50",Inputs!$A$29:$K$33,5,FALSE())*(Inputs!$B$25/14)*Inputs!$B$13)+(1-C395)*(VLOOKUP("50",Inputs!$A$29:$K$33,6,FALSE())*(Inputs!$B$25/14)*Inputs!$B$5+VLOOKUP("50",Inputs!$A$29:$K$33,7,FALSE())*(Inputs!$B$25/14)*Inputs!$B$12+VLOOKUP("50",Inputs!$A$29:$K$33,8,FALSE())*(Inputs!$B$25/14)*Inputs!$B$13),C395*((VLOOKUP("50",Inputs!$A$29:$K$33,3,FALSE())*(Inputs!$B$25/14)*Inputs!$B$5+VLOOKUP("50",Inputs!$A$29:$K$33,4,FALSE())*(Inputs!$B$25/14)*Inputs!$B$12+VLOOKUP("50",Inputs!$A$29:$K$33,5,FALSE())*(Inputs!$B$25/14)*Inputs!$B$13)+Inputs!$B$18)+(1-C395)*((INDEX(Inputs!$A$37:$C$37,1,1)*(Inputs!$B$25/14)*Inputs!$B$5+INDEX(Inputs!$A$37:$C$37,1,2)*(Inputs!$B$25/14)*Inputs!$B$12+INDEX(Inputs!$A$37:$C$37,1,3)*(Inputs!$B$25/14)*Inputs!$B$13)))</f>
        <v>190.379173030059</v>
      </c>
      <c r="E395" s="25" t="n">
        <f aca="false">0</f>
        <v>0</v>
      </c>
      <c r="F39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96" customFormat="false" ht="15" hidden="false" customHeight="true" outlineLevel="0" collapsed="false">
      <c r="A396" s="23" t="n">
        <v>4</v>
      </c>
      <c r="B396" s="24" t="b">
        <f aca="false">A396&lt;=Inputs!$B$17</f>
        <v>0</v>
      </c>
      <c r="C396" s="25" t="n">
        <f aca="false">C395*(1-Inputs!$B$22*(0.9^(A396-2)))</f>
        <v>0.1490281044</v>
      </c>
      <c r="D396" s="26" t="n">
        <f aca="false">IF(B396,C396*(VLOOKUP("50",Inputs!$A$29:$K$33,3,FALSE())*(Inputs!$B$25/14)*Inputs!$B$5+VLOOKUP("50",Inputs!$A$29:$K$33,4,FALSE())*(Inputs!$B$25/14)*Inputs!$B$12+VLOOKUP("50",Inputs!$A$29:$K$33,5,FALSE())*(Inputs!$B$25/14)*Inputs!$B$13)+(1-C396)*(VLOOKUP("50",Inputs!$A$29:$K$33,6,FALSE())*(Inputs!$B$25/14)*Inputs!$B$5+VLOOKUP("50",Inputs!$A$29:$K$33,7,FALSE())*(Inputs!$B$25/14)*Inputs!$B$12+VLOOKUP("50",Inputs!$A$29:$K$33,8,FALSE())*(Inputs!$B$25/14)*Inputs!$B$13),C396*((VLOOKUP("50",Inputs!$A$29:$K$33,3,FALSE())*(Inputs!$B$25/14)*Inputs!$B$5+VLOOKUP("50",Inputs!$A$29:$K$33,4,FALSE())*(Inputs!$B$25/14)*Inputs!$B$12+VLOOKUP("50",Inputs!$A$29:$K$33,5,FALSE())*(Inputs!$B$25/14)*Inputs!$B$13)+Inputs!$B$18)+(1-C396)*((INDEX(Inputs!$A$37:$C$37,1,1)*(Inputs!$B$25/14)*Inputs!$B$5+INDEX(Inputs!$A$37:$C$37,1,2)*(Inputs!$B$25/14)*Inputs!$B$12+INDEX(Inputs!$A$37:$C$37,1,3)*(Inputs!$B$25/14)*Inputs!$B$13)))</f>
        <v>326.118259949895</v>
      </c>
      <c r="E396" s="25" t="n">
        <f aca="false">0</f>
        <v>0</v>
      </c>
      <c r="F39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97" customFormat="false" ht="15" hidden="false" customHeight="true" outlineLevel="0" collapsed="false">
      <c r="A397" s="23" t="n">
        <v>5</v>
      </c>
      <c r="B397" s="24" t="b">
        <f aca="false">A397&lt;=Inputs!$B$17</f>
        <v>0</v>
      </c>
      <c r="C397" s="25" t="n">
        <f aca="false">C396*(1-Inputs!$B$22*(0.9^(A397-2)))</f>
        <v>0.115349243086644</v>
      </c>
      <c r="D397" s="26" t="n">
        <f aca="false">IF(B397,C397*(VLOOKUP("50",Inputs!$A$29:$K$33,3,FALSE())*(Inputs!$B$25/14)*Inputs!$B$5+VLOOKUP("50",Inputs!$A$29:$K$33,4,FALSE())*(Inputs!$B$25/14)*Inputs!$B$12+VLOOKUP("50",Inputs!$A$29:$K$33,5,FALSE())*(Inputs!$B$25/14)*Inputs!$B$13)+(1-C397)*(VLOOKUP("50",Inputs!$A$29:$K$33,6,FALSE())*(Inputs!$B$25/14)*Inputs!$B$5+VLOOKUP("50",Inputs!$A$29:$K$33,7,FALSE())*(Inputs!$B$25/14)*Inputs!$B$12+VLOOKUP("50",Inputs!$A$29:$K$33,8,FALSE())*(Inputs!$B$25/14)*Inputs!$B$13),C397*((VLOOKUP("50",Inputs!$A$29:$K$33,3,FALSE())*(Inputs!$B$25/14)*Inputs!$B$5+VLOOKUP("50",Inputs!$A$29:$K$33,4,FALSE())*(Inputs!$B$25/14)*Inputs!$B$12+VLOOKUP("50",Inputs!$A$29:$K$33,5,FALSE())*(Inputs!$B$25/14)*Inputs!$B$13)+Inputs!$B$18)+(1-C397)*((INDEX(Inputs!$A$37:$C$37,1,1)*(Inputs!$B$25/14)*Inputs!$B$5+INDEX(Inputs!$A$37:$C$37,1,2)*(Inputs!$B$25/14)*Inputs!$B$12+INDEX(Inputs!$A$37:$C$37,1,3)*(Inputs!$B$25/14)*Inputs!$B$13)))</f>
        <v>326.452199013116</v>
      </c>
      <c r="E397" s="25" t="n">
        <f aca="false">0</f>
        <v>0</v>
      </c>
      <c r="F39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98" customFormat="false" ht="15" hidden="false" customHeight="true" outlineLevel="0" collapsed="false">
      <c r="A398" s="23" t="n">
        <v>6</v>
      </c>
      <c r="B398" s="24" t="b">
        <f aca="false">A398&lt;=Inputs!$B$17</f>
        <v>0</v>
      </c>
      <c r="C398" s="25" t="n">
        <f aca="false">C397*(1-Inputs!$B$22*(0.9^(A398-2)))</f>
        <v>0.0918882451860084</v>
      </c>
      <c r="D398" s="26" t="n">
        <f aca="false">IF(B398,C398*(VLOOKUP("50",Inputs!$A$29:$K$33,3,FALSE())*(Inputs!$B$25/14)*Inputs!$B$5+VLOOKUP("50",Inputs!$A$29:$K$33,4,FALSE())*(Inputs!$B$25/14)*Inputs!$B$12+VLOOKUP("50",Inputs!$A$29:$K$33,5,FALSE())*(Inputs!$B$25/14)*Inputs!$B$13)+(1-C398)*(VLOOKUP("50",Inputs!$A$29:$K$33,6,FALSE())*(Inputs!$B$25/14)*Inputs!$B$5+VLOOKUP("50",Inputs!$A$29:$K$33,7,FALSE())*(Inputs!$B$25/14)*Inputs!$B$12+VLOOKUP("50",Inputs!$A$29:$K$33,8,FALSE())*(Inputs!$B$25/14)*Inputs!$B$13),C398*((VLOOKUP("50",Inputs!$A$29:$K$33,3,FALSE())*(Inputs!$B$25/14)*Inputs!$B$5+VLOOKUP("50",Inputs!$A$29:$K$33,4,FALSE())*(Inputs!$B$25/14)*Inputs!$B$12+VLOOKUP("50",Inputs!$A$29:$K$33,5,FALSE())*(Inputs!$B$25/14)*Inputs!$B$13)+Inputs!$B$18)+(1-C398)*((INDEX(Inputs!$A$37:$C$37,1,1)*(Inputs!$B$25/14)*Inputs!$B$5+INDEX(Inputs!$A$37:$C$37,1,2)*(Inputs!$B$25/14)*Inputs!$B$12+INDEX(Inputs!$A$37:$C$37,1,3)*(Inputs!$B$25/14)*Inputs!$B$13)))</f>
        <v>326.684823970008</v>
      </c>
      <c r="E398" s="25" t="n">
        <f aca="false">0</f>
        <v>0</v>
      </c>
      <c r="F39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399" customFormat="false" ht="15" hidden="false" customHeight="true" outlineLevel="0" collapsed="false">
      <c r="A399" s="23" t="n">
        <v>7</v>
      </c>
      <c r="B399" s="24" t="b">
        <f aca="false">A399&lt;=Inputs!$B$17</f>
        <v>0</v>
      </c>
      <c r="C399" s="25" t="n">
        <f aca="false">C398*(1-Inputs!$B$22*(0.9^(A399-2)))</f>
        <v>0.0750679273170437</v>
      </c>
      <c r="D399" s="26" t="n">
        <f aca="false">IF(B399,C399*(VLOOKUP("50",Inputs!$A$29:$K$33,3,FALSE())*(Inputs!$B$25/14)*Inputs!$B$5+VLOOKUP("50",Inputs!$A$29:$K$33,4,FALSE())*(Inputs!$B$25/14)*Inputs!$B$12+VLOOKUP("50",Inputs!$A$29:$K$33,5,FALSE())*(Inputs!$B$25/14)*Inputs!$B$13)+(1-C399)*(VLOOKUP("50",Inputs!$A$29:$K$33,6,FALSE())*(Inputs!$B$25/14)*Inputs!$B$5+VLOOKUP("50",Inputs!$A$29:$K$33,7,FALSE())*(Inputs!$B$25/14)*Inputs!$B$12+VLOOKUP("50",Inputs!$A$29:$K$33,8,FALSE())*(Inputs!$B$25/14)*Inputs!$B$13),C399*((VLOOKUP("50",Inputs!$A$29:$K$33,3,FALSE())*(Inputs!$B$25/14)*Inputs!$B$5+VLOOKUP("50",Inputs!$A$29:$K$33,4,FALSE())*(Inputs!$B$25/14)*Inputs!$B$12+VLOOKUP("50",Inputs!$A$29:$K$33,5,FALSE())*(Inputs!$B$25/14)*Inputs!$B$13)+Inputs!$B$18)+(1-C399)*((INDEX(Inputs!$A$37:$C$37,1,1)*(Inputs!$B$25/14)*Inputs!$B$5+INDEX(Inputs!$A$37:$C$37,1,2)*(Inputs!$B$25/14)*Inputs!$B$12+INDEX(Inputs!$A$37:$C$37,1,3)*(Inputs!$B$25/14)*Inputs!$B$13)))</f>
        <v>326.851603990863</v>
      </c>
      <c r="E399" s="25" t="n">
        <f aca="false">0</f>
        <v>0</v>
      </c>
      <c r="F39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00" customFormat="false" ht="15" hidden="false" customHeight="true" outlineLevel="0" collapsed="false">
      <c r="A400" s="23" t="n">
        <v>8</v>
      </c>
      <c r="B400" s="24" t="b">
        <f aca="false">A400&lt;=Inputs!$B$17</f>
        <v>0</v>
      </c>
      <c r="C400" s="25" t="n">
        <f aca="false">C399*(1-Inputs!$B$22*(0.9^(A400-2)))</f>
        <v>0.0627007332650416</v>
      </c>
      <c r="D400" s="26" t="n">
        <f aca="false">IF(B400,C400*(VLOOKUP("50",Inputs!$A$29:$K$33,3,FALSE())*(Inputs!$B$25/14)*Inputs!$B$5+VLOOKUP("50",Inputs!$A$29:$K$33,4,FALSE())*(Inputs!$B$25/14)*Inputs!$B$12+VLOOKUP("50",Inputs!$A$29:$K$33,5,FALSE())*(Inputs!$B$25/14)*Inputs!$B$13)+(1-C400)*(VLOOKUP("50",Inputs!$A$29:$K$33,6,FALSE())*(Inputs!$B$25/14)*Inputs!$B$5+VLOOKUP("50",Inputs!$A$29:$K$33,7,FALSE())*(Inputs!$B$25/14)*Inputs!$B$12+VLOOKUP("50",Inputs!$A$29:$K$33,8,FALSE())*(Inputs!$B$25/14)*Inputs!$B$13),C400*((VLOOKUP("50",Inputs!$A$29:$K$33,3,FALSE())*(Inputs!$B$25/14)*Inputs!$B$5+VLOOKUP("50",Inputs!$A$29:$K$33,4,FALSE())*(Inputs!$B$25/14)*Inputs!$B$12+VLOOKUP("50",Inputs!$A$29:$K$33,5,FALSE())*(Inputs!$B$25/14)*Inputs!$B$13)+Inputs!$B$18)+(1-C400)*((INDEX(Inputs!$A$37:$C$37,1,1)*(Inputs!$B$25/14)*Inputs!$B$5+INDEX(Inputs!$A$37:$C$37,1,2)*(Inputs!$B$25/14)*Inputs!$B$12+INDEX(Inputs!$A$37:$C$37,1,3)*(Inputs!$B$25/14)*Inputs!$B$13)))</f>
        <v>326.974229549904</v>
      </c>
      <c r="E400" s="25" t="n">
        <f aca="false">0</f>
        <v>0</v>
      </c>
      <c r="F40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01" customFormat="false" ht="15" hidden="false" customHeight="true" outlineLevel="0" collapsed="false">
      <c r="A401" s="23" t="n">
        <v>9</v>
      </c>
      <c r="B401" s="24" t="b">
        <f aca="false">A401&lt;=Inputs!$B$17</f>
        <v>0</v>
      </c>
      <c r="C401" s="25" t="n">
        <f aca="false">C400*(1-Inputs!$B$22*(0.9^(A401-2)))</f>
        <v>0.0534039676970388</v>
      </c>
      <c r="D401" s="26" t="n">
        <f aca="false">IF(B401,C401*(VLOOKUP("50",Inputs!$A$29:$K$33,3,FALSE())*(Inputs!$B$25/14)*Inputs!$B$5+VLOOKUP("50",Inputs!$A$29:$K$33,4,FALSE())*(Inputs!$B$25/14)*Inputs!$B$12+VLOOKUP("50",Inputs!$A$29:$K$33,5,FALSE())*(Inputs!$B$25/14)*Inputs!$B$13)+(1-C401)*(VLOOKUP("50",Inputs!$A$29:$K$33,6,FALSE())*(Inputs!$B$25/14)*Inputs!$B$5+VLOOKUP("50",Inputs!$A$29:$K$33,7,FALSE())*(Inputs!$B$25/14)*Inputs!$B$12+VLOOKUP("50",Inputs!$A$29:$K$33,8,FALSE())*(Inputs!$B$25/14)*Inputs!$B$13),C401*((VLOOKUP("50",Inputs!$A$29:$K$33,3,FALSE())*(Inputs!$B$25/14)*Inputs!$B$5+VLOOKUP("50",Inputs!$A$29:$K$33,4,FALSE())*(Inputs!$B$25/14)*Inputs!$B$12+VLOOKUP("50",Inputs!$A$29:$K$33,5,FALSE())*(Inputs!$B$25/14)*Inputs!$B$13)+Inputs!$B$18)+(1-C401)*((INDEX(Inputs!$A$37:$C$37,1,1)*(Inputs!$B$25/14)*Inputs!$B$5+INDEX(Inputs!$A$37:$C$37,1,2)*(Inputs!$B$25/14)*Inputs!$B$12+INDEX(Inputs!$A$37:$C$37,1,3)*(Inputs!$B$25/14)*Inputs!$B$13)))</f>
        <v>327.066410611368</v>
      </c>
      <c r="E401" s="25" t="n">
        <f aca="false">0</f>
        <v>0</v>
      </c>
      <c r="F40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02" customFormat="false" ht="15" hidden="false" customHeight="true" outlineLevel="0" collapsed="false">
      <c r="A402" s="23" t="n">
        <v>10</v>
      </c>
      <c r="B402" s="24" t="b">
        <f aca="false">A402&lt;=Inputs!$B$17</f>
        <v>0</v>
      </c>
      <c r="C402" s="25" t="n">
        <f aca="false">C401*(1-Inputs!$B$22*(0.9^(A402-2)))</f>
        <v>0.0462774840340217</v>
      </c>
      <c r="D402" s="26" t="n">
        <f aca="false">IF(B402,C402*(VLOOKUP("50",Inputs!$A$29:$K$33,3,FALSE())*(Inputs!$B$25/14)*Inputs!$B$5+VLOOKUP("50",Inputs!$A$29:$K$33,4,FALSE())*(Inputs!$B$25/14)*Inputs!$B$12+VLOOKUP("50",Inputs!$A$29:$K$33,5,FALSE())*(Inputs!$B$25/14)*Inputs!$B$13)+(1-C402)*(VLOOKUP("50",Inputs!$A$29:$K$33,6,FALSE())*(Inputs!$B$25/14)*Inputs!$B$5+VLOOKUP("50",Inputs!$A$29:$K$33,7,FALSE())*(Inputs!$B$25/14)*Inputs!$B$12+VLOOKUP("50",Inputs!$A$29:$K$33,8,FALSE())*(Inputs!$B$25/14)*Inputs!$B$13),C402*((VLOOKUP("50",Inputs!$A$29:$K$33,3,FALSE())*(Inputs!$B$25/14)*Inputs!$B$5+VLOOKUP("50",Inputs!$A$29:$K$33,4,FALSE())*(Inputs!$B$25/14)*Inputs!$B$12+VLOOKUP("50",Inputs!$A$29:$K$33,5,FALSE())*(Inputs!$B$25/14)*Inputs!$B$13)+Inputs!$B$18)+(1-C402)*((INDEX(Inputs!$A$37:$C$37,1,1)*(Inputs!$B$25/14)*Inputs!$B$5+INDEX(Inputs!$A$37:$C$37,1,2)*(Inputs!$B$25/14)*Inputs!$B$12+INDEX(Inputs!$A$37:$C$37,1,3)*(Inputs!$B$25/14)*Inputs!$B$13)))</f>
        <v>327.137072480139</v>
      </c>
      <c r="E402" s="25" t="n">
        <f aca="false">0</f>
        <v>0</v>
      </c>
      <c r="F40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03" customFormat="false" ht="15" hidden="false" customHeight="true" outlineLevel="0" collapsed="false">
      <c r="A403" s="23" t="n">
        <v>11</v>
      </c>
      <c r="B403" s="24" t="b">
        <f aca="false">A403&lt;=Inputs!$B$17</f>
        <v>0</v>
      </c>
      <c r="C403" s="25" t="n">
        <f aca="false">C402*(1-Inputs!$B$22*(0.9^(A403-2)))</f>
        <v>0.0407195419308351</v>
      </c>
      <c r="D403" s="26" t="n">
        <f aca="false">IF(B403,C403*(VLOOKUP("50",Inputs!$A$29:$K$33,3,FALSE())*(Inputs!$B$25/14)*Inputs!$B$5+VLOOKUP("50",Inputs!$A$29:$K$33,4,FALSE())*(Inputs!$B$25/14)*Inputs!$B$12+VLOOKUP("50",Inputs!$A$29:$K$33,5,FALSE())*(Inputs!$B$25/14)*Inputs!$B$13)+(1-C403)*(VLOOKUP("50",Inputs!$A$29:$K$33,6,FALSE())*(Inputs!$B$25/14)*Inputs!$B$5+VLOOKUP("50",Inputs!$A$29:$K$33,7,FALSE())*(Inputs!$B$25/14)*Inputs!$B$12+VLOOKUP("50",Inputs!$A$29:$K$33,8,FALSE())*(Inputs!$B$25/14)*Inputs!$B$13),C403*((VLOOKUP("50",Inputs!$A$29:$K$33,3,FALSE())*(Inputs!$B$25/14)*Inputs!$B$5+VLOOKUP("50",Inputs!$A$29:$K$33,4,FALSE())*(Inputs!$B$25/14)*Inputs!$B$12+VLOOKUP("50",Inputs!$A$29:$K$33,5,FALSE())*(Inputs!$B$25/14)*Inputs!$B$13)+Inputs!$B$18)+(1-C403)*((INDEX(Inputs!$A$37:$C$37,1,1)*(Inputs!$B$25/14)*Inputs!$B$5+INDEX(Inputs!$A$37:$C$37,1,2)*(Inputs!$B$25/14)*Inputs!$B$12+INDEX(Inputs!$A$37:$C$37,1,3)*(Inputs!$B$25/14)*Inputs!$B$13)))</f>
        <v>327.19218164675</v>
      </c>
      <c r="E403" s="25" t="n">
        <f aca="false">0</f>
        <v>0</v>
      </c>
      <c r="F40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04" customFormat="false" ht="15" hidden="false" customHeight="true" outlineLevel="0" collapsed="false">
      <c r="A404" s="23" t="n">
        <v>12</v>
      </c>
      <c r="B404" s="24" t="b">
        <f aca="false">A404&lt;=Inputs!$B$17</f>
        <v>0</v>
      </c>
      <c r="C404" s="25" t="n">
        <f aca="false">C403*(1-Inputs!$B$22*(0.9^(A404-2)))</f>
        <v>0.0363181537586057</v>
      </c>
      <c r="D404" s="26" t="n">
        <f aca="false">IF(B404,C404*(VLOOKUP("50",Inputs!$A$29:$K$33,3,FALSE())*(Inputs!$B$25/14)*Inputs!$B$5+VLOOKUP("50",Inputs!$A$29:$K$33,4,FALSE())*(Inputs!$B$25/14)*Inputs!$B$12+VLOOKUP("50",Inputs!$A$29:$K$33,5,FALSE())*(Inputs!$B$25/14)*Inputs!$B$13)+(1-C404)*(VLOOKUP("50",Inputs!$A$29:$K$33,6,FALSE())*(Inputs!$B$25/14)*Inputs!$B$5+VLOOKUP("50",Inputs!$A$29:$K$33,7,FALSE())*(Inputs!$B$25/14)*Inputs!$B$12+VLOOKUP("50",Inputs!$A$29:$K$33,8,FALSE())*(Inputs!$B$25/14)*Inputs!$B$13),C404*((VLOOKUP("50",Inputs!$A$29:$K$33,3,FALSE())*(Inputs!$B$25/14)*Inputs!$B$5+VLOOKUP("50",Inputs!$A$29:$K$33,4,FALSE())*(Inputs!$B$25/14)*Inputs!$B$12+VLOOKUP("50",Inputs!$A$29:$K$33,5,FALSE())*(Inputs!$B$25/14)*Inputs!$B$13)+Inputs!$B$18)+(1-C404)*((INDEX(Inputs!$A$37:$C$37,1,1)*(Inputs!$B$25/14)*Inputs!$B$5+INDEX(Inputs!$A$37:$C$37,1,2)*(Inputs!$B$25/14)*Inputs!$B$12+INDEX(Inputs!$A$37:$C$37,1,3)*(Inputs!$B$25/14)*Inputs!$B$13)))</f>
        <v>327.235823129443</v>
      </c>
      <c r="E404" s="25" t="n">
        <f aca="false">0</f>
        <v>0</v>
      </c>
      <c r="F40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05" customFormat="false" ht="15" hidden="false" customHeight="true" outlineLevel="0" collapsed="false">
      <c r="A405" s="27" t="s">
        <v>125</v>
      </c>
      <c r="D405" s="28" t="n">
        <f aca="false">SUM(D393:D404)</f>
        <v>3484.72600101133</v>
      </c>
      <c r="F405" s="28" t="n">
        <f aca="false">SUM(F393:F404)</f>
        <v>3913.03653761406</v>
      </c>
    </row>
    <row r="407" customFormat="false" ht="15" hidden="false" customHeight="true" outlineLevel="0" collapsed="false">
      <c r="A407" s="27" t="s">
        <v>172</v>
      </c>
    </row>
    <row r="408" customFormat="false" ht="21.75" hidden="false" customHeight="true" outlineLevel="0" collapsed="false">
      <c r="A408" s="43" t="s">
        <v>92</v>
      </c>
      <c r="B408" s="43" t="s">
        <v>145</v>
      </c>
      <c r="C408" s="43" t="s">
        <v>146</v>
      </c>
      <c r="D408" s="43" t="s">
        <v>147</v>
      </c>
      <c r="E408" s="43" t="s">
        <v>148</v>
      </c>
      <c r="F408" s="43" t="s">
        <v>149</v>
      </c>
    </row>
    <row r="409" customFormat="false" ht="15" hidden="false" customHeight="true" outlineLevel="0" collapsed="false">
      <c r="A409" s="23" t="n">
        <v>1</v>
      </c>
      <c r="B409" s="24" t="b">
        <f aca="false">A409&lt;=Inputs!$B$17</f>
        <v>1</v>
      </c>
      <c r="C409" s="25" t="n">
        <f aca="false">VLOOKUP("50",Inputs!$A$29:$K$33,2,FALSE())</f>
        <v>0.4</v>
      </c>
      <c r="D409" s="26" t="n">
        <f aca="false">IF(B409,C409*(VLOOKUP("50",Inputs!$A$29:$K$33,3,FALSE())*(Inputs!$B$25/14)*Inputs!$B$5+VLOOKUP("50",Inputs!$A$29:$K$33,4,FALSE())*(Inputs!$B$25/14)*Inputs!$B$12+VLOOKUP("50",Inputs!$A$29:$K$33,5,FALSE())*(Inputs!$B$25/14)*Inputs!$B$13)+(1-C409)*(VLOOKUP("50",Inputs!$A$29:$K$33,6,FALSE())*(Inputs!$B$25/14)*Inputs!$B$5+VLOOKUP("50",Inputs!$A$29:$K$33,7,FALSE())*(Inputs!$B$25/14)*Inputs!$B$12+VLOOKUP("50",Inputs!$A$29:$K$33,8,FALSE())*(Inputs!$B$25/14)*Inputs!$B$13),C409*((VLOOKUP("50",Inputs!$A$29:$K$33,3,FALSE())*(Inputs!$B$25/14)*Inputs!$B$5+VLOOKUP("50",Inputs!$A$29:$K$33,4,FALSE())*(Inputs!$B$25/14)*Inputs!$B$12+VLOOKUP("50",Inputs!$A$29:$K$33,5,FALSE())*(Inputs!$B$25/14)*Inputs!$B$13)+Inputs!$B$18)+(1-C409)*((VLOOKUP("50",Inputs!$A$29:$K$33,9,FALSE())*(Inputs!$B$25/14)*Inputs!$B$5+VLOOKUP("50",Inputs!$A$29:$K$33,10,FALSE())*(Inputs!$B$25/14)*Inputs!$B$12+VLOOKUP("50",Inputs!$A$29:$K$33,11,FALSE())*(Inputs!$B$25/14)*Inputs!$B$13)))</f>
        <v>170.045006016964</v>
      </c>
      <c r="E409" s="25" t="n">
        <f aca="false">Inputs!$B$21</f>
        <v>0.083</v>
      </c>
      <c r="F409" s="26" t="n">
        <f aca="false">E409*(VLOOKUP("50",Inputs!$A$29:$K$33,3,FALSE())*(Inputs!$B$25/14)*Inputs!$B$5+VLOOKUP("50",Inputs!$A$29:$K$33,4,FALSE())*(Inputs!$B$25/14)*Inputs!$B$12+VLOOKUP("50",Inputs!$A$29:$K$33,5,FALSE())*(Inputs!$B$25/14)*Inputs!$B$13)+(1-E409)*(INDEX(Inputs!$A$37:$C$37,1,1)*(Inputs!$B$25/14)*Inputs!$B$5+INDEX(Inputs!$A$37:$C$37,1,2)*(Inputs!$B$25/14)*Inputs!$B$12+INDEX(Inputs!$A$37:$C$37,1,3)*(Inputs!$B$25/14)*Inputs!$B$13)</f>
        <v>309.48128772567</v>
      </c>
    </row>
    <row r="410" customFormat="false" ht="15" hidden="false" customHeight="true" outlineLevel="0" collapsed="false">
      <c r="A410" s="23" t="n">
        <v>2</v>
      </c>
      <c r="B410" s="24" t="b">
        <f aca="false">A410&lt;=Inputs!$B$17</f>
        <v>1</v>
      </c>
      <c r="C410" s="25" t="n">
        <f aca="false">C409*(1-Inputs!$B$22*(0.9^(A410-2)))</f>
        <v>0.276</v>
      </c>
      <c r="D410" s="26" t="n">
        <f aca="false">IF(B410,C410*(VLOOKUP("50",Inputs!$A$29:$K$33,3,FALSE())*(Inputs!$B$25/14)*Inputs!$B$5+VLOOKUP("50",Inputs!$A$29:$K$33,4,FALSE())*(Inputs!$B$25/14)*Inputs!$B$12+VLOOKUP("50",Inputs!$A$29:$K$33,5,FALSE())*(Inputs!$B$25/14)*Inputs!$B$13)+(1-C410)*(VLOOKUP("50",Inputs!$A$29:$K$33,6,FALSE())*(Inputs!$B$25/14)*Inputs!$B$5+VLOOKUP("50",Inputs!$A$29:$K$33,7,FALSE())*(Inputs!$B$25/14)*Inputs!$B$12+VLOOKUP("50",Inputs!$A$29:$K$33,8,FALSE())*(Inputs!$B$25/14)*Inputs!$B$13),C410*((VLOOKUP("50",Inputs!$A$29:$K$33,3,FALSE())*(Inputs!$B$25/14)*Inputs!$B$5+VLOOKUP("50",Inputs!$A$29:$K$33,4,FALSE())*(Inputs!$B$25/14)*Inputs!$B$12+VLOOKUP("50",Inputs!$A$29:$K$33,5,FALSE())*(Inputs!$B$25/14)*Inputs!$B$13)+Inputs!$B$18)+(1-C410)*((VLOOKUP("50",Inputs!$A$29:$K$33,9,FALSE())*(Inputs!$B$25/14)*Inputs!$B$5+VLOOKUP("50",Inputs!$A$29:$K$33,10,FALSE())*(Inputs!$B$25/14)*Inputs!$B$12+VLOOKUP("50",Inputs!$A$29:$K$33,11,FALSE())*(Inputs!$B$25/14)*Inputs!$B$13)))</f>
        <v>182.589217622821</v>
      </c>
      <c r="E410" s="25" t="n">
        <f aca="false">0</f>
        <v>0</v>
      </c>
      <c r="F41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1" customFormat="false" ht="15" hidden="false" customHeight="true" outlineLevel="0" collapsed="false">
      <c r="A411" s="23" t="n">
        <v>3</v>
      </c>
      <c r="B411" s="24" t="b">
        <f aca="false">A411&lt;=Inputs!$B$17</f>
        <v>1</v>
      </c>
      <c r="C411" s="25" t="n">
        <f aca="false">C410*(1-Inputs!$B$22*(0.9^(A411-2)))</f>
        <v>0.198996</v>
      </c>
      <c r="D411" s="26" t="n">
        <f aca="false">IF(B411,C411*(VLOOKUP("50",Inputs!$A$29:$K$33,3,FALSE())*(Inputs!$B$25/14)*Inputs!$B$5+VLOOKUP("50",Inputs!$A$29:$K$33,4,FALSE())*(Inputs!$B$25/14)*Inputs!$B$12+VLOOKUP("50",Inputs!$A$29:$K$33,5,FALSE())*(Inputs!$B$25/14)*Inputs!$B$13)+(1-C411)*(VLOOKUP("50",Inputs!$A$29:$K$33,6,FALSE())*(Inputs!$B$25/14)*Inputs!$B$5+VLOOKUP("50",Inputs!$A$29:$K$33,7,FALSE())*(Inputs!$B$25/14)*Inputs!$B$12+VLOOKUP("50",Inputs!$A$29:$K$33,8,FALSE())*(Inputs!$B$25/14)*Inputs!$B$13),C411*((VLOOKUP("50",Inputs!$A$29:$K$33,3,FALSE())*(Inputs!$B$25/14)*Inputs!$B$5+VLOOKUP("50",Inputs!$A$29:$K$33,4,FALSE())*(Inputs!$B$25/14)*Inputs!$B$12+VLOOKUP("50",Inputs!$A$29:$K$33,5,FALSE())*(Inputs!$B$25/14)*Inputs!$B$13)+Inputs!$B$18)+(1-C411)*((VLOOKUP("50",Inputs!$A$29:$K$33,9,FALSE())*(Inputs!$B$25/14)*Inputs!$B$5+VLOOKUP("50",Inputs!$A$29:$K$33,10,FALSE())*(Inputs!$B$25/14)*Inputs!$B$12+VLOOKUP("50",Inputs!$A$29:$K$33,11,FALSE())*(Inputs!$B$25/14)*Inputs!$B$13)))</f>
        <v>190.379173030059</v>
      </c>
      <c r="E411" s="25" t="n">
        <f aca="false">0</f>
        <v>0</v>
      </c>
      <c r="F41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2" customFormat="false" ht="15" hidden="false" customHeight="true" outlineLevel="0" collapsed="false">
      <c r="A412" s="23" t="n">
        <v>4</v>
      </c>
      <c r="B412" s="24" t="b">
        <f aca="false">A412&lt;=Inputs!$B$17</f>
        <v>0</v>
      </c>
      <c r="C412" s="25" t="n">
        <f aca="false">C411*(1-Inputs!$B$22*(0.9^(A412-2)))</f>
        <v>0.1490281044</v>
      </c>
      <c r="D412" s="26" t="n">
        <f aca="false">IF(B412,C412*(VLOOKUP("50",Inputs!$A$29:$K$33,3,FALSE())*(Inputs!$B$25/14)*Inputs!$B$5+VLOOKUP("50",Inputs!$A$29:$K$33,4,FALSE())*(Inputs!$B$25/14)*Inputs!$B$12+VLOOKUP("50",Inputs!$A$29:$K$33,5,FALSE())*(Inputs!$B$25/14)*Inputs!$B$13)+(1-C412)*(VLOOKUP("50",Inputs!$A$29:$K$33,6,FALSE())*(Inputs!$B$25/14)*Inputs!$B$5+VLOOKUP("50",Inputs!$A$29:$K$33,7,FALSE())*(Inputs!$B$25/14)*Inputs!$B$12+VLOOKUP("50",Inputs!$A$29:$K$33,8,FALSE())*(Inputs!$B$25/14)*Inputs!$B$13),C412*((VLOOKUP("50",Inputs!$A$29:$K$33,3,FALSE())*(Inputs!$B$25/14)*Inputs!$B$5+VLOOKUP("50",Inputs!$A$29:$K$33,4,FALSE())*(Inputs!$B$25/14)*Inputs!$B$12+VLOOKUP("50",Inputs!$A$29:$K$33,5,FALSE())*(Inputs!$B$25/14)*Inputs!$B$13)+Inputs!$B$18)+(1-C412)*((VLOOKUP("50",Inputs!$A$29:$K$33,9,FALSE())*(Inputs!$B$25/14)*Inputs!$B$5+VLOOKUP("50",Inputs!$A$29:$K$33,10,FALSE())*(Inputs!$B$25/14)*Inputs!$B$12+VLOOKUP("50",Inputs!$A$29:$K$33,11,FALSE())*(Inputs!$B$25/14)*Inputs!$B$13)))</f>
        <v>263.714859980703</v>
      </c>
      <c r="E412" s="25" t="n">
        <f aca="false">0</f>
        <v>0</v>
      </c>
      <c r="F41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3" customFormat="false" ht="15" hidden="false" customHeight="true" outlineLevel="0" collapsed="false">
      <c r="A413" s="23" t="n">
        <v>5</v>
      </c>
      <c r="B413" s="24" t="b">
        <f aca="false">A413&lt;=Inputs!$B$17</f>
        <v>0</v>
      </c>
      <c r="C413" s="25" t="n">
        <f aca="false">C412*(1-Inputs!$B$22*(0.9^(A413-2)))</f>
        <v>0.115349243086644</v>
      </c>
      <c r="D413" s="26" t="n">
        <f aca="false">IF(B413,C413*(VLOOKUP("50",Inputs!$A$29:$K$33,3,FALSE())*(Inputs!$B$25/14)*Inputs!$B$5+VLOOKUP("50",Inputs!$A$29:$K$33,4,FALSE())*(Inputs!$B$25/14)*Inputs!$B$12+VLOOKUP("50",Inputs!$A$29:$K$33,5,FALSE())*(Inputs!$B$25/14)*Inputs!$B$13)+(1-C413)*(VLOOKUP("50",Inputs!$A$29:$K$33,6,FALSE())*(Inputs!$B$25/14)*Inputs!$B$5+VLOOKUP("50",Inputs!$A$29:$K$33,7,FALSE())*(Inputs!$B$25/14)*Inputs!$B$12+VLOOKUP("50",Inputs!$A$29:$K$33,8,FALSE())*(Inputs!$B$25/14)*Inputs!$B$13),C413*((VLOOKUP("50",Inputs!$A$29:$K$33,3,FALSE())*(Inputs!$B$25/14)*Inputs!$B$5+VLOOKUP("50",Inputs!$A$29:$K$33,4,FALSE())*(Inputs!$B$25/14)*Inputs!$B$12+VLOOKUP("50",Inputs!$A$29:$K$33,5,FALSE())*(Inputs!$B$25/14)*Inputs!$B$13)+Inputs!$B$18)+(1-C413)*((VLOOKUP("50",Inputs!$A$29:$K$33,9,FALSE())*(Inputs!$B$25/14)*Inputs!$B$5+VLOOKUP("50",Inputs!$A$29:$K$33,10,FALSE())*(Inputs!$B$25/14)*Inputs!$B$12+VLOOKUP("50",Inputs!$A$29:$K$33,11,FALSE())*(Inputs!$B$25/14)*Inputs!$B$13)))</f>
        <v>261.57906359918</v>
      </c>
      <c r="E413" s="25" t="n">
        <f aca="false">0</f>
        <v>0</v>
      </c>
      <c r="F41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4" customFormat="false" ht="15" hidden="false" customHeight="true" outlineLevel="0" collapsed="false">
      <c r="A414" s="23" t="n">
        <v>6</v>
      </c>
      <c r="B414" s="24" t="b">
        <f aca="false">A414&lt;=Inputs!$B$17</f>
        <v>0</v>
      </c>
      <c r="C414" s="25" t="n">
        <f aca="false">C413*(1-Inputs!$B$22*(0.9^(A414-2)))</f>
        <v>0.0918882451860084</v>
      </c>
      <c r="D414" s="26" t="n">
        <f aca="false">IF(B414,C414*(VLOOKUP("50",Inputs!$A$29:$K$33,3,FALSE())*(Inputs!$B$25/14)*Inputs!$B$5+VLOOKUP("50",Inputs!$A$29:$K$33,4,FALSE())*(Inputs!$B$25/14)*Inputs!$B$12+VLOOKUP("50",Inputs!$A$29:$K$33,5,FALSE())*(Inputs!$B$25/14)*Inputs!$B$13)+(1-C414)*(VLOOKUP("50",Inputs!$A$29:$K$33,6,FALSE())*(Inputs!$B$25/14)*Inputs!$B$5+VLOOKUP("50",Inputs!$A$29:$K$33,7,FALSE())*(Inputs!$B$25/14)*Inputs!$B$12+VLOOKUP("50",Inputs!$A$29:$K$33,8,FALSE())*(Inputs!$B$25/14)*Inputs!$B$13),C414*((VLOOKUP("50",Inputs!$A$29:$K$33,3,FALSE())*(Inputs!$B$25/14)*Inputs!$B$5+VLOOKUP("50",Inputs!$A$29:$K$33,4,FALSE())*(Inputs!$B$25/14)*Inputs!$B$12+VLOOKUP("50",Inputs!$A$29:$K$33,5,FALSE())*(Inputs!$B$25/14)*Inputs!$B$13)+Inputs!$B$18)+(1-C414)*((VLOOKUP("50",Inputs!$A$29:$K$33,9,FALSE())*(Inputs!$B$25/14)*Inputs!$B$5+VLOOKUP("50",Inputs!$A$29:$K$33,10,FALSE())*(Inputs!$B$25/14)*Inputs!$B$12+VLOOKUP("50",Inputs!$A$29:$K$33,11,FALSE())*(Inputs!$B$25/14)*Inputs!$B$13)))</f>
        <v>260.091248617644</v>
      </c>
      <c r="E414" s="25" t="n">
        <f aca="false">0</f>
        <v>0</v>
      </c>
      <c r="F41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5" customFormat="false" ht="15" hidden="false" customHeight="true" outlineLevel="0" collapsed="false">
      <c r="A415" s="23" t="n">
        <v>7</v>
      </c>
      <c r="B415" s="24" t="b">
        <f aca="false">A415&lt;=Inputs!$B$17</f>
        <v>0</v>
      </c>
      <c r="C415" s="25" t="n">
        <f aca="false">C414*(1-Inputs!$B$22*(0.9^(A415-2)))</f>
        <v>0.0750679273170437</v>
      </c>
      <c r="D415" s="26" t="n">
        <f aca="false">IF(B415,C415*(VLOOKUP("50",Inputs!$A$29:$K$33,3,FALSE())*(Inputs!$B$25/14)*Inputs!$B$5+VLOOKUP("50",Inputs!$A$29:$K$33,4,FALSE())*(Inputs!$B$25/14)*Inputs!$B$12+VLOOKUP("50",Inputs!$A$29:$K$33,5,FALSE())*(Inputs!$B$25/14)*Inputs!$B$13)+(1-C415)*(VLOOKUP("50",Inputs!$A$29:$K$33,6,FALSE())*(Inputs!$B$25/14)*Inputs!$B$5+VLOOKUP("50",Inputs!$A$29:$K$33,7,FALSE())*(Inputs!$B$25/14)*Inputs!$B$12+VLOOKUP("50",Inputs!$A$29:$K$33,8,FALSE())*(Inputs!$B$25/14)*Inputs!$B$13),C415*((VLOOKUP("50",Inputs!$A$29:$K$33,3,FALSE())*(Inputs!$B$25/14)*Inputs!$B$5+VLOOKUP("50",Inputs!$A$29:$K$33,4,FALSE())*(Inputs!$B$25/14)*Inputs!$B$12+VLOOKUP("50",Inputs!$A$29:$K$33,5,FALSE())*(Inputs!$B$25/14)*Inputs!$B$13)+Inputs!$B$18)+(1-C415)*((VLOOKUP("50",Inputs!$A$29:$K$33,9,FALSE())*(Inputs!$B$25/14)*Inputs!$B$5+VLOOKUP("50",Inputs!$A$29:$K$33,10,FALSE())*(Inputs!$B$25/14)*Inputs!$B$12+VLOOKUP("50",Inputs!$A$29:$K$33,11,FALSE())*(Inputs!$B$25/14)*Inputs!$B$13)))</f>
        <v>259.02456249348</v>
      </c>
      <c r="E415" s="25" t="n">
        <f aca="false">0</f>
        <v>0</v>
      </c>
      <c r="F41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6" customFormat="false" ht="15" hidden="false" customHeight="true" outlineLevel="0" collapsed="false">
      <c r="A416" s="23" t="n">
        <v>8</v>
      </c>
      <c r="B416" s="24" t="b">
        <f aca="false">A416&lt;=Inputs!$B$17</f>
        <v>0</v>
      </c>
      <c r="C416" s="25" t="n">
        <f aca="false">C415*(1-Inputs!$B$22*(0.9^(A416-2)))</f>
        <v>0.0627007332650416</v>
      </c>
      <c r="D416" s="26" t="n">
        <f aca="false">IF(B416,C416*(VLOOKUP("50",Inputs!$A$29:$K$33,3,FALSE())*(Inputs!$B$25/14)*Inputs!$B$5+VLOOKUP("50",Inputs!$A$29:$K$33,4,FALSE())*(Inputs!$B$25/14)*Inputs!$B$12+VLOOKUP("50",Inputs!$A$29:$K$33,5,FALSE())*(Inputs!$B$25/14)*Inputs!$B$13)+(1-C416)*(VLOOKUP("50",Inputs!$A$29:$K$33,6,FALSE())*(Inputs!$B$25/14)*Inputs!$B$5+VLOOKUP("50",Inputs!$A$29:$K$33,7,FALSE())*(Inputs!$B$25/14)*Inputs!$B$12+VLOOKUP("50",Inputs!$A$29:$K$33,8,FALSE())*(Inputs!$B$25/14)*Inputs!$B$13),C416*((VLOOKUP("50",Inputs!$A$29:$K$33,3,FALSE())*(Inputs!$B$25/14)*Inputs!$B$5+VLOOKUP("50",Inputs!$A$29:$K$33,4,FALSE())*(Inputs!$B$25/14)*Inputs!$B$12+VLOOKUP("50",Inputs!$A$29:$K$33,5,FALSE())*(Inputs!$B$25/14)*Inputs!$B$13)+Inputs!$B$18)+(1-C416)*((VLOOKUP("50",Inputs!$A$29:$K$33,9,FALSE())*(Inputs!$B$25/14)*Inputs!$B$5+VLOOKUP("50",Inputs!$A$29:$K$33,10,FALSE())*(Inputs!$B$25/14)*Inputs!$B$12+VLOOKUP("50",Inputs!$A$29:$K$33,11,FALSE())*(Inputs!$B$25/14)*Inputs!$B$13)))</f>
        <v>258.240278011291</v>
      </c>
      <c r="E416" s="25" t="n">
        <f aca="false">0</f>
        <v>0</v>
      </c>
      <c r="F41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7" customFormat="false" ht="15" hidden="false" customHeight="true" outlineLevel="0" collapsed="false">
      <c r="A417" s="23" t="n">
        <v>9</v>
      </c>
      <c r="B417" s="24" t="b">
        <f aca="false">A417&lt;=Inputs!$B$17</f>
        <v>0</v>
      </c>
      <c r="C417" s="25" t="n">
        <f aca="false">C416*(1-Inputs!$B$22*(0.9^(A417-2)))</f>
        <v>0.0534039676970388</v>
      </c>
      <c r="D417" s="26" t="n">
        <f aca="false">IF(B417,C417*(VLOOKUP("50",Inputs!$A$29:$K$33,3,FALSE())*(Inputs!$B$25/14)*Inputs!$B$5+VLOOKUP("50",Inputs!$A$29:$K$33,4,FALSE())*(Inputs!$B$25/14)*Inputs!$B$12+VLOOKUP("50",Inputs!$A$29:$K$33,5,FALSE())*(Inputs!$B$25/14)*Inputs!$B$13)+(1-C417)*(VLOOKUP("50",Inputs!$A$29:$K$33,6,FALSE())*(Inputs!$B$25/14)*Inputs!$B$5+VLOOKUP("50",Inputs!$A$29:$K$33,7,FALSE())*(Inputs!$B$25/14)*Inputs!$B$12+VLOOKUP("50",Inputs!$A$29:$K$33,8,FALSE())*(Inputs!$B$25/14)*Inputs!$B$13),C417*((VLOOKUP("50",Inputs!$A$29:$K$33,3,FALSE())*(Inputs!$B$25/14)*Inputs!$B$5+VLOOKUP("50",Inputs!$A$29:$K$33,4,FALSE())*(Inputs!$B$25/14)*Inputs!$B$12+VLOOKUP("50",Inputs!$A$29:$K$33,5,FALSE())*(Inputs!$B$25/14)*Inputs!$B$13)+Inputs!$B$18)+(1-C417)*((VLOOKUP("50",Inputs!$A$29:$K$33,9,FALSE())*(Inputs!$B$25/14)*Inputs!$B$5+VLOOKUP("50",Inputs!$A$29:$K$33,10,FALSE())*(Inputs!$B$25/14)*Inputs!$B$12+VLOOKUP("50",Inputs!$A$29:$K$33,11,FALSE())*(Inputs!$B$25/14)*Inputs!$B$13)))</f>
        <v>257.650709436651</v>
      </c>
      <c r="E417" s="25" t="n">
        <f aca="false">0</f>
        <v>0</v>
      </c>
      <c r="F41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8" customFormat="false" ht="15" hidden="false" customHeight="true" outlineLevel="0" collapsed="false">
      <c r="A418" s="23" t="n">
        <v>10</v>
      </c>
      <c r="B418" s="24" t="b">
        <f aca="false">A418&lt;=Inputs!$B$17</f>
        <v>0</v>
      </c>
      <c r="C418" s="25" t="n">
        <f aca="false">C417*(1-Inputs!$B$22*(0.9^(A418-2)))</f>
        <v>0.0462774840340217</v>
      </c>
      <c r="D418" s="26" t="n">
        <f aca="false">IF(B418,C418*(VLOOKUP("50",Inputs!$A$29:$K$33,3,FALSE())*(Inputs!$B$25/14)*Inputs!$B$5+VLOOKUP("50",Inputs!$A$29:$K$33,4,FALSE())*(Inputs!$B$25/14)*Inputs!$B$12+VLOOKUP("50",Inputs!$A$29:$K$33,5,FALSE())*(Inputs!$B$25/14)*Inputs!$B$13)+(1-C418)*(VLOOKUP("50",Inputs!$A$29:$K$33,6,FALSE())*(Inputs!$B$25/14)*Inputs!$B$5+VLOOKUP("50",Inputs!$A$29:$K$33,7,FALSE())*(Inputs!$B$25/14)*Inputs!$B$12+VLOOKUP("50",Inputs!$A$29:$K$33,8,FALSE())*(Inputs!$B$25/14)*Inputs!$B$13),C418*((VLOOKUP("50",Inputs!$A$29:$K$33,3,FALSE())*(Inputs!$B$25/14)*Inputs!$B$5+VLOOKUP("50",Inputs!$A$29:$K$33,4,FALSE())*(Inputs!$B$25/14)*Inputs!$B$12+VLOOKUP("50",Inputs!$A$29:$K$33,5,FALSE())*(Inputs!$B$25/14)*Inputs!$B$13)+Inputs!$B$18)+(1-C418)*((VLOOKUP("50",Inputs!$A$29:$K$33,9,FALSE())*(Inputs!$B$25/14)*Inputs!$B$5+VLOOKUP("50",Inputs!$A$29:$K$33,10,FALSE())*(Inputs!$B$25/14)*Inputs!$B$12+VLOOKUP("50",Inputs!$A$29:$K$33,11,FALSE())*(Inputs!$B$25/14)*Inputs!$B$13)))</f>
        <v>257.198772600699</v>
      </c>
      <c r="E418" s="25" t="n">
        <f aca="false">0</f>
        <v>0</v>
      </c>
      <c r="F41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19" customFormat="false" ht="15" hidden="false" customHeight="true" outlineLevel="0" collapsed="false">
      <c r="A419" s="23" t="n">
        <v>11</v>
      </c>
      <c r="B419" s="24" t="b">
        <f aca="false">A419&lt;=Inputs!$B$17</f>
        <v>0</v>
      </c>
      <c r="C419" s="25" t="n">
        <f aca="false">C418*(1-Inputs!$B$22*(0.9^(A419-2)))</f>
        <v>0.0407195419308351</v>
      </c>
      <c r="D419" s="26" t="n">
        <f aca="false">IF(B419,C419*(VLOOKUP("50",Inputs!$A$29:$K$33,3,FALSE())*(Inputs!$B$25/14)*Inputs!$B$5+VLOOKUP("50",Inputs!$A$29:$K$33,4,FALSE())*(Inputs!$B$25/14)*Inputs!$B$12+VLOOKUP("50",Inputs!$A$29:$K$33,5,FALSE())*(Inputs!$B$25/14)*Inputs!$B$13)+(1-C419)*(VLOOKUP("50",Inputs!$A$29:$K$33,6,FALSE())*(Inputs!$B$25/14)*Inputs!$B$5+VLOOKUP("50",Inputs!$A$29:$K$33,7,FALSE())*(Inputs!$B$25/14)*Inputs!$B$12+VLOOKUP("50",Inputs!$A$29:$K$33,8,FALSE())*(Inputs!$B$25/14)*Inputs!$B$13),C419*((VLOOKUP("50",Inputs!$A$29:$K$33,3,FALSE())*(Inputs!$B$25/14)*Inputs!$B$5+VLOOKUP("50",Inputs!$A$29:$K$33,4,FALSE())*(Inputs!$B$25/14)*Inputs!$B$12+VLOOKUP("50",Inputs!$A$29:$K$33,5,FALSE())*(Inputs!$B$25/14)*Inputs!$B$13)+Inputs!$B$18)+(1-C419)*((VLOOKUP("50",Inputs!$A$29:$K$33,9,FALSE())*(Inputs!$B$25/14)*Inputs!$B$5+VLOOKUP("50",Inputs!$A$29:$K$33,10,FALSE())*(Inputs!$B$25/14)*Inputs!$B$12+VLOOKUP("50",Inputs!$A$29:$K$33,11,FALSE())*(Inputs!$B$25/14)*Inputs!$B$13)))</f>
        <v>256.846307221235</v>
      </c>
      <c r="E419" s="25" t="n">
        <f aca="false">0</f>
        <v>0</v>
      </c>
      <c r="F41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20" customFormat="false" ht="15" hidden="false" customHeight="true" outlineLevel="0" collapsed="false">
      <c r="A420" s="23" t="n">
        <v>12</v>
      </c>
      <c r="B420" s="24" t="b">
        <f aca="false">A420&lt;=Inputs!$B$17</f>
        <v>0</v>
      </c>
      <c r="C420" s="25" t="n">
        <f aca="false">C419*(1-Inputs!$B$22*(0.9^(A420-2)))</f>
        <v>0.0363181537586057</v>
      </c>
      <c r="D420" s="26" t="n">
        <f aca="false">IF(B420,C420*(VLOOKUP("50",Inputs!$A$29:$K$33,3,FALSE())*(Inputs!$B$25/14)*Inputs!$B$5+VLOOKUP("50",Inputs!$A$29:$K$33,4,FALSE())*(Inputs!$B$25/14)*Inputs!$B$12+VLOOKUP("50",Inputs!$A$29:$K$33,5,FALSE())*(Inputs!$B$25/14)*Inputs!$B$13)+(1-C420)*(VLOOKUP("50",Inputs!$A$29:$K$33,6,FALSE())*(Inputs!$B$25/14)*Inputs!$B$5+VLOOKUP("50",Inputs!$A$29:$K$33,7,FALSE())*(Inputs!$B$25/14)*Inputs!$B$12+VLOOKUP("50",Inputs!$A$29:$K$33,8,FALSE())*(Inputs!$B$25/14)*Inputs!$B$13),C420*((VLOOKUP("50",Inputs!$A$29:$K$33,3,FALSE())*(Inputs!$B$25/14)*Inputs!$B$5+VLOOKUP("50",Inputs!$A$29:$K$33,4,FALSE())*(Inputs!$B$25/14)*Inputs!$B$12+VLOOKUP("50",Inputs!$A$29:$K$33,5,FALSE())*(Inputs!$B$25/14)*Inputs!$B$13)+Inputs!$B$18)+(1-C420)*((VLOOKUP("50",Inputs!$A$29:$K$33,9,FALSE())*(Inputs!$B$25/14)*Inputs!$B$5+VLOOKUP("50",Inputs!$A$29:$K$33,10,FALSE())*(Inputs!$B$25/14)*Inputs!$B$12+VLOOKUP("50",Inputs!$A$29:$K$33,11,FALSE())*(Inputs!$B$25/14)*Inputs!$B$13)))</f>
        <v>256.567186474116</v>
      </c>
      <c r="E420" s="25" t="n">
        <f aca="false">0</f>
        <v>0</v>
      </c>
      <c r="F42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21" customFormat="false" ht="15" hidden="false" customHeight="true" outlineLevel="0" collapsed="false">
      <c r="A421" s="27" t="s">
        <v>125</v>
      </c>
      <c r="D421" s="28" t="n">
        <f aca="false">SUM(D409:D420)</f>
        <v>2873.92638510484</v>
      </c>
      <c r="F421" s="28" t="n">
        <f aca="false">SUM(F409:F420)</f>
        <v>3913.03653761406</v>
      </c>
    </row>
    <row r="423" customFormat="false" ht="15" hidden="false" customHeight="true" outlineLevel="0" collapsed="false">
      <c r="A423" s="27" t="s">
        <v>173</v>
      </c>
    </row>
    <row r="424" customFormat="false" ht="21.75" hidden="false" customHeight="true" outlineLevel="0" collapsed="false">
      <c r="A424" s="43" t="s">
        <v>92</v>
      </c>
      <c r="B424" s="43" t="s">
        <v>145</v>
      </c>
      <c r="C424" s="43" t="s">
        <v>146</v>
      </c>
      <c r="D424" s="43" t="s">
        <v>147</v>
      </c>
      <c r="E424" s="43" t="s">
        <v>148</v>
      </c>
      <c r="F424" s="43" t="s">
        <v>149</v>
      </c>
    </row>
    <row r="425" customFormat="false" ht="15" hidden="false" customHeight="true" outlineLevel="0" collapsed="false">
      <c r="A425" s="23" t="n">
        <v>1</v>
      </c>
      <c r="B425" s="24" t="b">
        <f aca="false">A425&lt;=Inputs!$B$17</f>
        <v>1</v>
      </c>
      <c r="C425" s="25" t="n">
        <f aca="false">VLOOKUP("65",Inputs!$A$29:$K$33,2,FALSE())</f>
        <v>0.24</v>
      </c>
      <c r="D425" s="26" t="n">
        <f aca="false">IF(B425,C425*(VLOOKUP("65",Inputs!$A$29:$K$33,3,FALSE())*(Inputs!$B$25/14)*Inputs!$B$5+VLOOKUP("65",Inputs!$A$29:$K$33,4,FALSE())*(Inputs!$B$25/14)*Inputs!$B$12+VLOOKUP("65",Inputs!$A$29:$K$33,5,FALSE())*(Inputs!$B$25/14)*Inputs!$B$13)+(1-C425)*(VLOOKUP("65",Inputs!$A$29:$K$33,6,FALSE())*(Inputs!$B$25/14)*Inputs!$B$5+VLOOKUP("65",Inputs!$A$29:$K$33,7,FALSE())*(Inputs!$B$25/14)*Inputs!$B$12+VLOOKUP("65",Inputs!$A$29:$K$33,8,FALSE())*(Inputs!$B$25/14)*Inputs!$B$13),C425*((VLOOKUP("65",Inputs!$A$29:$K$33,3,FALSE())*(Inputs!$B$25/14)*Inputs!$B$5+VLOOKUP("65",Inputs!$A$29:$K$33,4,FALSE())*(Inputs!$B$25/14)*Inputs!$B$12+VLOOKUP("65",Inputs!$A$29:$K$33,5,FALSE())*(Inputs!$B$25/14)*Inputs!$B$13)+Inputs!$B$18)+(1-C425)*((INDEX(Inputs!$A$37:$C$37,1,1)*(Inputs!$B$25/14)*Inputs!$B$5+INDEX(Inputs!$A$37:$C$37,1,2)*(Inputs!$B$25/14)*Inputs!$B$12+INDEX(Inputs!$A$37:$C$37,1,3)*(Inputs!$B$25/14)*Inputs!$B$13)))</f>
        <v>164.887132751071</v>
      </c>
      <c r="E425" s="25" t="n">
        <f aca="false">Inputs!$B$21</f>
        <v>0.083</v>
      </c>
      <c r="F425" s="26" t="n">
        <f aca="false">E425*(VLOOKUP("65",Inputs!$A$29:$K$33,3,FALSE())*(Inputs!$B$25/14)*Inputs!$B$5+VLOOKUP("65",Inputs!$A$29:$K$33,4,FALSE())*(Inputs!$B$25/14)*Inputs!$B$12+VLOOKUP("65",Inputs!$A$29:$K$33,5,FALSE())*(Inputs!$B$25/14)*Inputs!$B$13)+(1-E425)*(INDEX(Inputs!$A$37:$C$37,1,1)*(Inputs!$B$25/14)*Inputs!$B$5+INDEX(Inputs!$A$37:$C$37,1,2)*(Inputs!$B$25/14)*Inputs!$B$12+INDEX(Inputs!$A$37:$C$37,1,3)*(Inputs!$B$25/14)*Inputs!$B$13)</f>
        <v>307.010383574576</v>
      </c>
    </row>
    <row r="426" customFormat="false" ht="15" hidden="false" customHeight="true" outlineLevel="0" collapsed="false">
      <c r="A426" s="23" t="n">
        <v>2</v>
      </c>
      <c r="B426" s="24" t="b">
        <f aca="false">A426&lt;=Inputs!$B$17</f>
        <v>1</v>
      </c>
      <c r="C426" s="25" t="n">
        <f aca="false">IF(A426=2,C425*(1-Inputs!$B$22),C425)</f>
        <v>0.1656</v>
      </c>
      <c r="D426" s="26" t="n">
        <f aca="false">IF(B426,C426*(VLOOKUP("65",Inputs!$A$29:$K$33,3,FALSE())*(Inputs!$B$25/14)*Inputs!$B$5+VLOOKUP("65",Inputs!$A$29:$K$33,4,FALSE())*(Inputs!$B$25/14)*Inputs!$B$12+VLOOKUP("65",Inputs!$A$29:$K$33,5,FALSE())*(Inputs!$B$25/14)*Inputs!$B$13)+(1-C426)*(VLOOKUP("65",Inputs!$A$29:$K$33,6,FALSE())*(Inputs!$B$25/14)*Inputs!$B$5+VLOOKUP("65",Inputs!$A$29:$K$33,7,FALSE())*(Inputs!$B$25/14)*Inputs!$B$12+VLOOKUP("65",Inputs!$A$29:$K$33,8,FALSE())*(Inputs!$B$25/14)*Inputs!$B$13),C426*((VLOOKUP("65",Inputs!$A$29:$K$33,3,FALSE())*(Inputs!$B$25/14)*Inputs!$B$5+VLOOKUP("65",Inputs!$A$29:$K$33,4,FALSE())*(Inputs!$B$25/14)*Inputs!$B$12+VLOOKUP("65",Inputs!$A$29:$K$33,5,FALSE())*(Inputs!$B$25/14)*Inputs!$B$13)+Inputs!$B$18)+(1-C426)*((INDEX(Inputs!$A$37:$C$37,1,1)*(Inputs!$B$25/14)*Inputs!$B$5+INDEX(Inputs!$A$37:$C$37,1,2)*(Inputs!$B$25/14)*Inputs!$B$12+INDEX(Inputs!$A$37:$C$37,1,3)*(Inputs!$B$25/14)*Inputs!$B$13)))</f>
        <v>173.238518493507</v>
      </c>
      <c r="E426" s="25" t="n">
        <f aca="false">0</f>
        <v>0</v>
      </c>
      <c r="F42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27" customFormat="false" ht="15" hidden="false" customHeight="true" outlineLevel="0" collapsed="false">
      <c r="A427" s="23" t="n">
        <v>3</v>
      </c>
      <c r="B427" s="24" t="b">
        <f aca="false">A427&lt;=Inputs!$B$17</f>
        <v>1</v>
      </c>
      <c r="C427" s="25" t="n">
        <f aca="false">IF(A427=2,C426*(1-Inputs!$B$22),C426)</f>
        <v>0.1656</v>
      </c>
      <c r="D427" s="26" t="n">
        <f aca="false">IF(B427,C427*(VLOOKUP("65",Inputs!$A$29:$K$33,3,FALSE())*(Inputs!$B$25/14)*Inputs!$B$5+VLOOKUP("65",Inputs!$A$29:$K$33,4,FALSE())*(Inputs!$B$25/14)*Inputs!$B$12+VLOOKUP("65",Inputs!$A$29:$K$33,5,FALSE())*(Inputs!$B$25/14)*Inputs!$B$13)+(1-C427)*(VLOOKUP("65",Inputs!$A$29:$K$33,6,FALSE())*(Inputs!$B$25/14)*Inputs!$B$5+VLOOKUP("65",Inputs!$A$29:$K$33,7,FALSE())*(Inputs!$B$25/14)*Inputs!$B$12+VLOOKUP("65",Inputs!$A$29:$K$33,8,FALSE())*(Inputs!$B$25/14)*Inputs!$B$13),C427*((VLOOKUP("65",Inputs!$A$29:$K$33,3,FALSE())*(Inputs!$B$25/14)*Inputs!$B$5+VLOOKUP("65",Inputs!$A$29:$K$33,4,FALSE())*(Inputs!$B$25/14)*Inputs!$B$12+VLOOKUP("65",Inputs!$A$29:$K$33,5,FALSE())*(Inputs!$B$25/14)*Inputs!$B$13)+Inputs!$B$18)+(1-C427)*((INDEX(Inputs!$A$37:$C$37,1,1)*(Inputs!$B$25/14)*Inputs!$B$5+INDEX(Inputs!$A$37:$C$37,1,2)*(Inputs!$B$25/14)*Inputs!$B$12+INDEX(Inputs!$A$37:$C$37,1,3)*(Inputs!$B$25/14)*Inputs!$B$13)))</f>
        <v>173.238518493507</v>
      </c>
      <c r="E427" s="25" t="n">
        <f aca="false">0</f>
        <v>0</v>
      </c>
      <c r="F42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28" customFormat="false" ht="15" hidden="false" customHeight="true" outlineLevel="0" collapsed="false">
      <c r="A428" s="23" t="n">
        <v>4</v>
      </c>
      <c r="B428" s="24" t="b">
        <f aca="false">A428&lt;=Inputs!$B$17</f>
        <v>0</v>
      </c>
      <c r="C428" s="25" t="n">
        <f aca="false">IF(A428=2,C427*(1-Inputs!$B$22),C427)</f>
        <v>0.1656</v>
      </c>
      <c r="D428" s="26" t="n">
        <f aca="false">IF(B428,C428*(VLOOKUP("65",Inputs!$A$29:$K$33,3,FALSE())*(Inputs!$B$25/14)*Inputs!$B$5+VLOOKUP("65",Inputs!$A$29:$K$33,4,FALSE())*(Inputs!$B$25/14)*Inputs!$B$12+VLOOKUP("65",Inputs!$A$29:$K$33,5,FALSE())*(Inputs!$B$25/14)*Inputs!$B$13)+(1-C428)*(VLOOKUP("65",Inputs!$A$29:$K$33,6,FALSE())*(Inputs!$B$25/14)*Inputs!$B$5+VLOOKUP("65",Inputs!$A$29:$K$33,7,FALSE())*(Inputs!$B$25/14)*Inputs!$B$12+VLOOKUP("65",Inputs!$A$29:$K$33,8,FALSE())*(Inputs!$B$25/14)*Inputs!$B$13),C428*((VLOOKUP("65",Inputs!$A$29:$K$33,3,FALSE())*(Inputs!$B$25/14)*Inputs!$B$5+VLOOKUP("65",Inputs!$A$29:$K$33,4,FALSE())*(Inputs!$B$25/14)*Inputs!$B$12+VLOOKUP("65",Inputs!$A$29:$K$33,5,FALSE())*(Inputs!$B$25/14)*Inputs!$B$13)+Inputs!$B$18)+(1-C428)*((INDEX(Inputs!$A$37:$C$37,1,1)*(Inputs!$B$25/14)*Inputs!$B$5+INDEX(Inputs!$A$37:$C$37,1,2)*(Inputs!$B$25/14)*Inputs!$B$12+INDEX(Inputs!$A$37:$C$37,1,3)*(Inputs!$B$25/14)*Inputs!$B$13)))</f>
        <v>321.024042802482</v>
      </c>
      <c r="E428" s="25" t="n">
        <f aca="false">0</f>
        <v>0</v>
      </c>
      <c r="F42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29" customFormat="false" ht="15" hidden="false" customHeight="true" outlineLevel="0" collapsed="false">
      <c r="A429" s="23" t="n">
        <v>5</v>
      </c>
      <c r="B429" s="24" t="b">
        <f aca="false">A429&lt;=Inputs!$B$17</f>
        <v>0</v>
      </c>
      <c r="C429" s="25" t="n">
        <f aca="false">IF(A429=2,C428*(1-Inputs!$B$22),C428)</f>
        <v>0.1656</v>
      </c>
      <c r="D429" s="26" t="n">
        <f aca="false">IF(B429,C429*(VLOOKUP("65",Inputs!$A$29:$K$33,3,FALSE())*(Inputs!$B$25/14)*Inputs!$B$5+VLOOKUP("65",Inputs!$A$29:$K$33,4,FALSE())*(Inputs!$B$25/14)*Inputs!$B$12+VLOOKUP("65",Inputs!$A$29:$K$33,5,FALSE())*(Inputs!$B$25/14)*Inputs!$B$13)+(1-C429)*(VLOOKUP("65",Inputs!$A$29:$K$33,6,FALSE())*(Inputs!$B$25/14)*Inputs!$B$5+VLOOKUP("65",Inputs!$A$29:$K$33,7,FALSE())*(Inputs!$B$25/14)*Inputs!$B$12+VLOOKUP("65",Inputs!$A$29:$K$33,8,FALSE())*(Inputs!$B$25/14)*Inputs!$B$13),C429*((VLOOKUP("65",Inputs!$A$29:$K$33,3,FALSE())*(Inputs!$B$25/14)*Inputs!$B$5+VLOOKUP("65",Inputs!$A$29:$K$33,4,FALSE())*(Inputs!$B$25/14)*Inputs!$B$12+VLOOKUP("65",Inputs!$A$29:$K$33,5,FALSE())*(Inputs!$B$25/14)*Inputs!$B$13)+Inputs!$B$18)+(1-C429)*((INDEX(Inputs!$A$37:$C$37,1,1)*(Inputs!$B$25/14)*Inputs!$B$5+INDEX(Inputs!$A$37:$C$37,1,2)*(Inputs!$B$25/14)*Inputs!$B$12+INDEX(Inputs!$A$37:$C$37,1,3)*(Inputs!$B$25/14)*Inputs!$B$13)))</f>
        <v>321.024042802482</v>
      </c>
      <c r="E429" s="25" t="n">
        <f aca="false">0</f>
        <v>0</v>
      </c>
      <c r="F42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0" customFormat="false" ht="15" hidden="false" customHeight="true" outlineLevel="0" collapsed="false">
      <c r="A430" s="23" t="n">
        <v>6</v>
      </c>
      <c r="B430" s="24" t="b">
        <f aca="false">A430&lt;=Inputs!$B$17</f>
        <v>0</v>
      </c>
      <c r="C430" s="25" t="n">
        <f aca="false">IF(A430=2,C429*(1-Inputs!$B$22),C429)</f>
        <v>0.1656</v>
      </c>
      <c r="D430" s="26" t="n">
        <f aca="false">IF(B430,C430*(VLOOKUP("65",Inputs!$A$29:$K$33,3,FALSE())*(Inputs!$B$25/14)*Inputs!$B$5+VLOOKUP("65",Inputs!$A$29:$K$33,4,FALSE())*(Inputs!$B$25/14)*Inputs!$B$12+VLOOKUP("65",Inputs!$A$29:$K$33,5,FALSE())*(Inputs!$B$25/14)*Inputs!$B$13)+(1-C430)*(VLOOKUP("65",Inputs!$A$29:$K$33,6,FALSE())*(Inputs!$B$25/14)*Inputs!$B$5+VLOOKUP("65",Inputs!$A$29:$K$33,7,FALSE())*(Inputs!$B$25/14)*Inputs!$B$12+VLOOKUP("65",Inputs!$A$29:$K$33,8,FALSE())*(Inputs!$B$25/14)*Inputs!$B$13),C430*((VLOOKUP("65",Inputs!$A$29:$K$33,3,FALSE())*(Inputs!$B$25/14)*Inputs!$B$5+VLOOKUP("65",Inputs!$A$29:$K$33,4,FALSE())*(Inputs!$B$25/14)*Inputs!$B$12+VLOOKUP("65",Inputs!$A$29:$K$33,5,FALSE())*(Inputs!$B$25/14)*Inputs!$B$13)+Inputs!$B$18)+(1-C430)*((INDEX(Inputs!$A$37:$C$37,1,1)*(Inputs!$B$25/14)*Inputs!$B$5+INDEX(Inputs!$A$37:$C$37,1,2)*(Inputs!$B$25/14)*Inputs!$B$12+INDEX(Inputs!$A$37:$C$37,1,3)*(Inputs!$B$25/14)*Inputs!$B$13)))</f>
        <v>321.024042802482</v>
      </c>
      <c r="E430" s="25" t="n">
        <f aca="false">0</f>
        <v>0</v>
      </c>
      <c r="F43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1" customFormat="false" ht="15" hidden="false" customHeight="true" outlineLevel="0" collapsed="false">
      <c r="A431" s="23" t="n">
        <v>7</v>
      </c>
      <c r="B431" s="24" t="b">
        <f aca="false">A431&lt;=Inputs!$B$17</f>
        <v>0</v>
      </c>
      <c r="C431" s="25" t="n">
        <f aca="false">IF(A431=2,C430*(1-Inputs!$B$22),C430)</f>
        <v>0.1656</v>
      </c>
      <c r="D431" s="26" t="n">
        <f aca="false">IF(B431,C431*(VLOOKUP("65",Inputs!$A$29:$K$33,3,FALSE())*(Inputs!$B$25/14)*Inputs!$B$5+VLOOKUP("65",Inputs!$A$29:$K$33,4,FALSE())*(Inputs!$B$25/14)*Inputs!$B$12+VLOOKUP("65",Inputs!$A$29:$K$33,5,FALSE())*(Inputs!$B$25/14)*Inputs!$B$13)+(1-C431)*(VLOOKUP("65",Inputs!$A$29:$K$33,6,FALSE())*(Inputs!$B$25/14)*Inputs!$B$5+VLOOKUP("65",Inputs!$A$29:$K$33,7,FALSE())*(Inputs!$B$25/14)*Inputs!$B$12+VLOOKUP("65",Inputs!$A$29:$K$33,8,FALSE())*(Inputs!$B$25/14)*Inputs!$B$13),C431*((VLOOKUP("65",Inputs!$A$29:$K$33,3,FALSE())*(Inputs!$B$25/14)*Inputs!$B$5+VLOOKUP("65",Inputs!$A$29:$K$33,4,FALSE())*(Inputs!$B$25/14)*Inputs!$B$12+VLOOKUP("65",Inputs!$A$29:$K$33,5,FALSE())*(Inputs!$B$25/14)*Inputs!$B$13)+Inputs!$B$18)+(1-C431)*((INDEX(Inputs!$A$37:$C$37,1,1)*(Inputs!$B$25/14)*Inputs!$B$5+INDEX(Inputs!$A$37:$C$37,1,2)*(Inputs!$B$25/14)*Inputs!$B$12+INDEX(Inputs!$A$37:$C$37,1,3)*(Inputs!$B$25/14)*Inputs!$B$13)))</f>
        <v>321.024042802482</v>
      </c>
      <c r="E431" s="25" t="n">
        <f aca="false">0</f>
        <v>0</v>
      </c>
      <c r="F43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2" customFormat="false" ht="15" hidden="false" customHeight="true" outlineLevel="0" collapsed="false">
      <c r="A432" s="23" t="n">
        <v>8</v>
      </c>
      <c r="B432" s="24" t="b">
        <f aca="false">A432&lt;=Inputs!$B$17</f>
        <v>0</v>
      </c>
      <c r="C432" s="25" t="n">
        <f aca="false">IF(A432=2,C431*(1-Inputs!$B$22),C431)</f>
        <v>0.1656</v>
      </c>
      <c r="D432" s="26" t="n">
        <f aca="false">IF(B432,C432*(VLOOKUP("65",Inputs!$A$29:$K$33,3,FALSE())*(Inputs!$B$25/14)*Inputs!$B$5+VLOOKUP("65",Inputs!$A$29:$K$33,4,FALSE())*(Inputs!$B$25/14)*Inputs!$B$12+VLOOKUP("65",Inputs!$A$29:$K$33,5,FALSE())*(Inputs!$B$25/14)*Inputs!$B$13)+(1-C432)*(VLOOKUP("65",Inputs!$A$29:$K$33,6,FALSE())*(Inputs!$B$25/14)*Inputs!$B$5+VLOOKUP("65",Inputs!$A$29:$K$33,7,FALSE())*(Inputs!$B$25/14)*Inputs!$B$12+VLOOKUP("65",Inputs!$A$29:$K$33,8,FALSE())*(Inputs!$B$25/14)*Inputs!$B$13),C432*((VLOOKUP("65",Inputs!$A$29:$K$33,3,FALSE())*(Inputs!$B$25/14)*Inputs!$B$5+VLOOKUP("65",Inputs!$A$29:$K$33,4,FALSE())*(Inputs!$B$25/14)*Inputs!$B$12+VLOOKUP("65",Inputs!$A$29:$K$33,5,FALSE())*(Inputs!$B$25/14)*Inputs!$B$13)+Inputs!$B$18)+(1-C432)*((INDEX(Inputs!$A$37:$C$37,1,1)*(Inputs!$B$25/14)*Inputs!$B$5+INDEX(Inputs!$A$37:$C$37,1,2)*(Inputs!$B$25/14)*Inputs!$B$12+INDEX(Inputs!$A$37:$C$37,1,3)*(Inputs!$B$25/14)*Inputs!$B$13)))</f>
        <v>321.024042802482</v>
      </c>
      <c r="E432" s="25" t="n">
        <f aca="false">0</f>
        <v>0</v>
      </c>
      <c r="F43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3" customFormat="false" ht="15" hidden="false" customHeight="true" outlineLevel="0" collapsed="false">
      <c r="A433" s="23" t="n">
        <v>9</v>
      </c>
      <c r="B433" s="24" t="b">
        <f aca="false">A433&lt;=Inputs!$B$17</f>
        <v>0</v>
      </c>
      <c r="C433" s="25" t="n">
        <f aca="false">IF(A433=2,C432*(1-Inputs!$B$22),C432)</f>
        <v>0.1656</v>
      </c>
      <c r="D433" s="26" t="n">
        <f aca="false">IF(B433,C433*(VLOOKUP("65",Inputs!$A$29:$K$33,3,FALSE())*(Inputs!$B$25/14)*Inputs!$B$5+VLOOKUP("65",Inputs!$A$29:$K$33,4,FALSE())*(Inputs!$B$25/14)*Inputs!$B$12+VLOOKUP("65",Inputs!$A$29:$K$33,5,FALSE())*(Inputs!$B$25/14)*Inputs!$B$13)+(1-C433)*(VLOOKUP("65",Inputs!$A$29:$K$33,6,FALSE())*(Inputs!$B$25/14)*Inputs!$B$5+VLOOKUP("65",Inputs!$A$29:$K$33,7,FALSE())*(Inputs!$B$25/14)*Inputs!$B$12+VLOOKUP("65",Inputs!$A$29:$K$33,8,FALSE())*(Inputs!$B$25/14)*Inputs!$B$13),C433*((VLOOKUP("65",Inputs!$A$29:$K$33,3,FALSE())*(Inputs!$B$25/14)*Inputs!$B$5+VLOOKUP("65",Inputs!$A$29:$K$33,4,FALSE())*(Inputs!$B$25/14)*Inputs!$B$12+VLOOKUP("65",Inputs!$A$29:$K$33,5,FALSE())*(Inputs!$B$25/14)*Inputs!$B$13)+Inputs!$B$18)+(1-C433)*((INDEX(Inputs!$A$37:$C$37,1,1)*(Inputs!$B$25/14)*Inputs!$B$5+INDEX(Inputs!$A$37:$C$37,1,2)*(Inputs!$B$25/14)*Inputs!$B$12+INDEX(Inputs!$A$37:$C$37,1,3)*(Inputs!$B$25/14)*Inputs!$B$13)))</f>
        <v>321.024042802482</v>
      </c>
      <c r="E433" s="25" t="n">
        <f aca="false">0</f>
        <v>0</v>
      </c>
      <c r="F43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4" customFormat="false" ht="15" hidden="false" customHeight="true" outlineLevel="0" collapsed="false">
      <c r="A434" s="23" t="n">
        <v>10</v>
      </c>
      <c r="B434" s="24" t="b">
        <f aca="false">A434&lt;=Inputs!$B$17</f>
        <v>0</v>
      </c>
      <c r="C434" s="25" t="n">
        <f aca="false">IF(A434=2,C433*(1-Inputs!$B$22),C433)</f>
        <v>0.1656</v>
      </c>
      <c r="D434" s="26" t="n">
        <f aca="false">IF(B434,C434*(VLOOKUP("65",Inputs!$A$29:$K$33,3,FALSE())*(Inputs!$B$25/14)*Inputs!$B$5+VLOOKUP("65",Inputs!$A$29:$K$33,4,FALSE())*(Inputs!$B$25/14)*Inputs!$B$12+VLOOKUP("65",Inputs!$A$29:$K$33,5,FALSE())*(Inputs!$B$25/14)*Inputs!$B$13)+(1-C434)*(VLOOKUP("65",Inputs!$A$29:$K$33,6,FALSE())*(Inputs!$B$25/14)*Inputs!$B$5+VLOOKUP("65",Inputs!$A$29:$K$33,7,FALSE())*(Inputs!$B$25/14)*Inputs!$B$12+VLOOKUP("65",Inputs!$A$29:$K$33,8,FALSE())*(Inputs!$B$25/14)*Inputs!$B$13),C434*((VLOOKUP("65",Inputs!$A$29:$K$33,3,FALSE())*(Inputs!$B$25/14)*Inputs!$B$5+VLOOKUP("65",Inputs!$A$29:$K$33,4,FALSE())*(Inputs!$B$25/14)*Inputs!$B$12+VLOOKUP("65",Inputs!$A$29:$K$33,5,FALSE())*(Inputs!$B$25/14)*Inputs!$B$13)+Inputs!$B$18)+(1-C434)*((INDEX(Inputs!$A$37:$C$37,1,1)*(Inputs!$B$25/14)*Inputs!$B$5+INDEX(Inputs!$A$37:$C$37,1,2)*(Inputs!$B$25/14)*Inputs!$B$12+INDEX(Inputs!$A$37:$C$37,1,3)*(Inputs!$B$25/14)*Inputs!$B$13)))</f>
        <v>321.024042802482</v>
      </c>
      <c r="E434" s="25" t="n">
        <f aca="false">0</f>
        <v>0</v>
      </c>
      <c r="F43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5" customFormat="false" ht="15" hidden="false" customHeight="true" outlineLevel="0" collapsed="false">
      <c r="A435" s="23" t="n">
        <v>11</v>
      </c>
      <c r="B435" s="24" t="b">
        <f aca="false">A435&lt;=Inputs!$B$17</f>
        <v>0</v>
      </c>
      <c r="C435" s="25" t="n">
        <f aca="false">IF(A435=2,C434*(1-Inputs!$B$22),C434)</f>
        <v>0.1656</v>
      </c>
      <c r="D435" s="26" t="n">
        <f aca="false">IF(B435,C435*(VLOOKUP("65",Inputs!$A$29:$K$33,3,FALSE())*(Inputs!$B$25/14)*Inputs!$B$5+VLOOKUP("65",Inputs!$A$29:$K$33,4,FALSE())*(Inputs!$B$25/14)*Inputs!$B$12+VLOOKUP("65",Inputs!$A$29:$K$33,5,FALSE())*(Inputs!$B$25/14)*Inputs!$B$13)+(1-C435)*(VLOOKUP("65",Inputs!$A$29:$K$33,6,FALSE())*(Inputs!$B$25/14)*Inputs!$B$5+VLOOKUP("65",Inputs!$A$29:$K$33,7,FALSE())*(Inputs!$B$25/14)*Inputs!$B$12+VLOOKUP("65",Inputs!$A$29:$K$33,8,FALSE())*(Inputs!$B$25/14)*Inputs!$B$13),C435*((VLOOKUP("65",Inputs!$A$29:$K$33,3,FALSE())*(Inputs!$B$25/14)*Inputs!$B$5+VLOOKUP("65",Inputs!$A$29:$K$33,4,FALSE())*(Inputs!$B$25/14)*Inputs!$B$12+VLOOKUP("65",Inputs!$A$29:$K$33,5,FALSE())*(Inputs!$B$25/14)*Inputs!$B$13)+Inputs!$B$18)+(1-C435)*((INDEX(Inputs!$A$37:$C$37,1,1)*(Inputs!$B$25/14)*Inputs!$B$5+INDEX(Inputs!$A$37:$C$37,1,2)*(Inputs!$B$25/14)*Inputs!$B$12+INDEX(Inputs!$A$37:$C$37,1,3)*(Inputs!$B$25/14)*Inputs!$B$13)))</f>
        <v>321.024042802482</v>
      </c>
      <c r="E435" s="25" t="n">
        <f aca="false">0</f>
        <v>0</v>
      </c>
      <c r="F43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6" customFormat="false" ht="15" hidden="false" customHeight="true" outlineLevel="0" collapsed="false">
      <c r="A436" s="23" t="n">
        <v>12</v>
      </c>
      <c r="B436" s="24" t="b">
        <f aca="false">A436&lt;=Inputs!$B$17</f>
        <v>0</v>
      </c>
      <c r="C436" s="25" t="n">
        <f aca="false">IF(A436=2,C435*(1-Inputs!$B$22),C435)</f>
        <v>0.1656</v>
      </c>
      <c r="D436" s="26" t="n">
        <f aca="false">IF(B436,C436*(VLOOKUP("65",Inputs!$A$29:$K$33,3,FALSE())*(Inputs!$B$25/14)*Inputs!$B$5+VLOOKUP("65",Inputs!$A$29:$K$33,4,FALSE())*(Inputs!$B$25/14)*Inputs!$B$12+VLOOKUP("65",Inputs!$A$29:$K$33,5,FALSE())*(Inputs!$B$25/14)*Inputs!$B$13)+(1-C436)*(VLOOKUP("65",Inputs!$A$29:$K$33,6,FALSE())*(Inputs!$B$25/14)*Inputs!$B$5+VLOOKUP("65",Inputs!$A$29:$K$33,7,FALSE())*(Inputs!$B$25/14)*Inputs!$B$12+VLOOKUP("65",Inputs!$A$29:$K$33,8,FALSE())*(Inputs!$B$25/14)*Inputs!$B$13),C436*((VLOOKUP("65",Inputs!$A$29:$K$33,3,FALSE())*(Inputs!$B$25/14)*Inputs!$B$5+VLOOKUP("65",Inputs!$A$29:$K$33,4,FALSE())*(Inputs!$B$25/14)*Inputs!$B$12+VLOOKUP("65",Inputs!$A$29:$K$33,5,FALSE())*(Inputs!$B$25/14)*Inputs!$B$13)+Inputs!$B$18)+(1-C436)*((INDEX(Inputs!$A$37:$C$37,1,1)*(Inputs!$B$25/14)*Inputs!$B$5+INDEX(Inputs!$A$37:$C$37,1,2)*(Inputs!$B$25/14)*Inputs!$B$12+INDEX(Inputs!$A$37:$C$37,1,3)*(Inputs!$B$25/14)*Inputs!$B$13)))</f>
        <v>321.024042802482</v>
      </c>
      <c r="E436" s="25" t="n">
        <f aca="false">0</f>
        <v>0</v>
      </c>
      <c r="F43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37" customFormat="false" ht="15" hidden="false" customHeight="true" outlineLevel="0" collapsed="false">
      <c r="A437" s="27" t="s">
        <v>125</v>
      </c>
      <c r="D437" s="28" t="n">
        <f aca="false">SUM(D425:D436)</f>
        <v>3400.58055496043</v>
      </c>
      <c r="F437" s="28" t="n">
        <f aca="false">SUM(F425:F436)</f>
        <v>3910.56563346297</v>
      </c>
    </row>
    <row r="439" customFormat="false" ht="15" hidden="false" customHeight="true" outlineLevel="0" collapsed="false">
      <c r="A439" s="27" t="s">
        <v>174</v>
      </c>
    </row>
    <row r="440" customFormat="false" ht="21.75" hidden="false" customHeight="true" outlineLevel="0" collapsed="false">
      <c r="A440" s="43" t="s">
        <v>92</v>
      </c>
      <c r="B440" s="43" t="s">
        <v>145</v>
      </c>
      <c r="C440" s="43" t="s">
        <v>146</v>
      </c>
      <c r="D440" s="43" t="s">
        <v>147</v>
      </c>
      <c r="E440" s="43" t="s">
        <v>148</v>
      </c>
      <c r="F440" s="43" t="s">
        <v>149</v>
      </c>
    </row>
    <row r="441" customFormat="false" ht="15" hidden="false" customHeight="true" outlineLevel="0" collapsed="false">
      <c r="A441" s="23" t="n">
        <v>1</v>
      </c>
      <c r="B441" s="24" t="b">
        <f aca="false">A441&lt;=Inputs!$B$17</f>
        <v>1</v>
      </c>
      <c r="C441" s="25" t="n">
        <f aca="false">VLOOKUP("65",Inputs!$A$29:$K$33,2,FALSE())</f>
        <v>0.24</v>
      </c>
      <c r="D441" s="26" t="n">
        <f aca="false">IF(B441,C441*(VLOOKUP("65",Inputs!$A$29:$K$33,3,FALSE())*(Inputs!$B$25/14)*Inputs!$B$5+VLOOKUP("65",Inputs!$A$29:$K$33,4,FALSE())*(Inputs!$B$25/14)*Inputs!$B$12+VLOOKUP("65",Inputs!$A$29:$K$33,5,FALSE())*(Inputs!$B$25/14)*Inputs!$B$13)+(1-C441)*(VLOOKUP("65",Inputs!$A$29:$K$33,6,FALSE())*(Inputs!$B$25/14)*Inputs!$B$5+VLOOKUP("65",Inputs!$A$29:$K$33,7,FALSE())*(Inputs!$B$25/14)*Inputs!$B$12+VLOOKUP("65",Inputs!$A$29:$K$33,8,FALSE())*(Inputs!$B$25/14)*Inputs!$B$13),C441*((VLOOKUP("65",Inputs!$A$29:$K$33,3,FALSE())*(Inputs!$B$25/14)*Inputs!$B$5+VLOOKUP("65",Inputs!$A$29:$K$33,4,FALSE())*(Inputs!$B$25/14)*Inputs!$B$12+VLOOKUP("65",Inputs!$A$29:$K$33,5,FALSE())*(Inputs!$B$25/14)*Inputs!$B$13)+Inputs!$B$18)+(1-C441)*((VLOOKUP("65",Inputs!$A$29:$K$33,9,FALSE())*(Inputs!$B$25/14)*Inputs!$B$5+VLOOKUP("65",Inputs!$A$29:$K$33,10,FALSE())*(Inputs!$B$25/14)*Inputs!$B$12+VLOOKUP("65",Inputs!$A$29:$K$33,11,FALSE())*(Inputs!$B$25/14)*Inputs!$B$13)))</f>
        <v>164.887132751071</v>
      </c>
      <c r="E441" s="25" t="n">
        <f aca="false">Inputs!$B$21</f>
        <v>0.083</v>
      </c>
      <c r="F441" s="26" t="n">
        <f aca="false">E441*(VLOOKUP("65",Inputs!$A$29:$K$33,3,FALSE())*(Inputs!$B$25/14)*Inputs!$B$5+VLOOKUP("65",Inputs!$A$29:$K$33,4,FALSE())*(Inputs!$B$25/14)*Inputs!$B$12+VLOOKUP("65",Inputs!$A$29:$K$33,5,FALSE())*(Inputs!$B$25/14)*Inputs!$B$13)+(1-E441)*(INDEX(Inputs!$A$37:$C$37,1,1)*(Inputs!$B$25/14)*Inputs!$B$5+INDEX(Inputs!$A$37:$C$37,1,2)*(Inputs!$B$25/14)*Inputs!$B$12+INDEX(Inputs!$A$37:$C$37,1,3)*(Inputs!$B$25/14)*Inputs!$B$13)</f>
        <v>307.010383574576</v>
      </c>
    </row>
    <row r="442" customFormat="false" ht="15" hidden="false" customHeight="true" outlineLevel="0" collapsed="false">
      <c r="A442" s="23" t="n">
        <v>2</v>
      </c>
      <c r="B442" s="24" t="b">
        <f aca="false">A442&lt;=Inputs!$B$17</f>
        <v>1</v>
      </c>
      <c r="C442" s="25" t="n">
        <f aca="false">IF(A442=2,C441*(1-Inputs!$B$22),C441)</f>
        <v>0.1656</v>
      </c>
      <c r="D442" s="26" t="n">
        <f aca="false">IF(B442,C442*(VLOOKUP("65",Inputs!$A$29:$K$33,3,FALSE())*(Inputs!$B$25/14)*Inputs!$B$5+VLOOKUP("65",Inputs!$A$29:$K$33,4,FALSE())*(Inputs!$B$25/14)*Inputs!$B$12+VLOOKUP("65",Inputs!$A$29:$K$33,5,FALSE())*(Inputs!$B$25/14)*Inputs!$B$13)+(1-C442)*(VLOOKUP("65",Inputs!$A$29:$K$33,6,FALSE())*(Inputs!$B$25/14)*Inputs!$B$5+VLOOKUP("65",Inputs!$A$29:$K$33,7,FALSE())*(Inputs!$B$25/14)*Inputs!$B$12+VLOOKUP("65",Inputs!$A$29:$K$33,8,FALSE())*(Inputs!$B$25/14)*Inputs!$B$13),C442*((VLOOKUP("65",Inputs!$A$29:$K$33,3,FALSE())*(Inputs!$B$25/14)*Inputs!$B$5+VLOOKUP("65",Inputs!$A$29:$K$33,4,FALSE())*(Inputs!$B$25/14)*Inputs!$B$12+VLOOKUP("65",Inputs!$A$29:$K$33,5,FALSE())*(Inputs!$B$25/14)*Inputs!$B$13)+Inputs!$B$18)+(1-C442)*((VLOOKUP("65",Inputs!$A$29:$K$33,9,FALSE())*(Inputs!$B$25/14)*Inputs!$B$5+VLOOKUP("65",Inputs!$A$29:$K$33,10,FALSE())*(Inputs!$B$25/14)*Inputs!$B$12+VLOOKUP("65",Inputs!$A$29:$K$33,11,FALSE())*(Inputs!$B$25/14)*Inputs!$B$13)))</f>
        <v>173.238518493507</v>
      </c>
      <c r="E442" s="25" t="n">
        <f aca="false">0</f>
        <v>0</v>
      </c>
      <c r="F44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3" customFormat="false" ht="15" hidden="false" customHeight="true" outlineLevel="0" collapsed="false">
      <c r="A443" s="23" t="n">
        <v>3</v>
      </c>
      <c r="B443" s="24" t="b">
        <f aca="false">A443&lt;=Inputs!$B$17</f>
        <v>1</v>
      </c>
      <c r="C443" s="25" t="n">
        <f aca="false">IF(A443=2,C442*(1-Inputs!$B$22),C442)</f>
        <v>0.1656</v>
      </c>
      <c r="D443" s="26" t="n">
        <f aca="false">IF(B443,C443*(VLOOKUP("65",Inputs!$A$29:$K$33,3,FALSE())*(Inputs!$B$25/14)*Inputs!$B$5+VLOOKUP("65",Inputs!$A$29:$K$33,4,FALSE())*(Inputs!$B$25/14)*Inputs!$B$12+VLOOKUP("65",Inputs!$A$29:$K$33,5,FALSE())*(Inputs!$B$25/14)*Inputs!$B$13)+(1-C443)*(VLOOKUP("65",Inputs!$A$29:$K$33,6,FALSE())*(Inputs!$B$25/14)*Inputs!$B$5+VLOOKUP("65",Inputs!$A$29:$K$33,7,FALSE())*(Inputs!$B$25/14)*Inputs!$B$12+VLOOKUP("65",Inputs!$A$29:$K$33,8,FALSE())*(Inputs!$B$25/14)*Inputs!$B$13),C443*((VLOOKUP("65",Inputs!$A$29:$K$33,3,FALSE())*(Inputs!$B$25/14)*Inputs!$B$5+VLOOKUP("65",Inputs!$A$29:$K$33,4,FALSE())*(Inputs!$B$25/14)*Inputs!$B$12+VLOOKUP("65",Inputs!$A$29:$K$33,5,FALSE())*(Inputs!$B$25/14)*Inputs!$B$13)+Inputs!$B$18)+(1-C443)*((VLOOKUP("65",Inputs!$A$29:$K$33,9,FALSE())*(Inputs!$B$25/14)*Inputs!$B$5+VLOOKUP("65",Inputs!$A$29:$K$33,10,FALSE())*(Inputs!$B$25/14)*Inputs!$B$12+VLOOKUP("65",Inputs!$A$29:$K$33,11,FALSE())*(Inputs!$B$25/14)*Inputs!$B$13)))</f>
        <v>173.238518493507</v>
      </c>
      <c r="E443" s="25" t="n">
        <f aca="false">0</f>
        <v>0</v>
      </c>
      <c r="F44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4" customFormat="false" ht="15" hidden="false" customHeight="true" outlineLevel="0" collapsed="false">
      <c r="A444" s="23" t="n">
        <v>4</v>
      </c>
      <c r="B444" s="24" t="b">
        <f aca="false">A444&lt;=Inputs!$B$17</f>
        <v>0</v>
      </c>
      <c r="C444" s="25" t="n">
        <f aca="false">IF(A444=2,C443*(1-Inputs!$B$22),C443)</f>
        <v>0.1656</v>
      </c>
      <c r="D444" s="26" t="n">
        <f aca="false">IF(B444,C444*(VLOOKUP("65",Inputs!$A$29:$K$33,3,FALSE())*(Inputs!$B$25/14)*Inputs!$B$5+VLOOKUP("65",Inputs!$A$29:$K$33,4,FALSE())*(Inputs!$B$25/14)*Inputs!$B$12+VLOOKUP("65",Inputs!$A$29:$K$33,5,FALSE())*(Inputs!$B$25/14)*Inputs!$B$13)+(1-C444)*(VLOOKUP("65",Inputs!$A$29:$K$33,6,FALSE())*(Inputs!$B$25/14)*Inputs!$B$5+VLOOKUP("65",Inputs!$A$29:$K$33,7,FALSE())*(Inputs!$B$25/14)*Inputs!$B$12+VLOOKUP("65",Inputs!$A$29:$K$33,8,FALSE())*(Inputs!$B$25/14)*Inputs!$B$13),C444*((VLOOKUP("65",Inputs!$A$29:$K$33,3,FALSE())*(Inputs!$B$25/14)*Inputs!$B$5+VLOOKUP("65",Inputs!$A$29:$K$33,4,FALSE())*(Inputs!$B$25/14)*Inputs!$B$12+VLOOKUP("65",Inputs!$A$29:$K$33,5,FALSE())*(Inputs!$B$25/14)*Inputs!$B$13)+Inputs!$B$18)+(1-C444)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44" s="25" t="n">
        <f aca="false">0</f>
        <v>0</v>
      </c>
      <c r="F44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5" customFormat="false" ht="15" hidden="false" customHeight="true" outlineLevel="0" collapsed="false">
      <c r="A445" s="23" t="n">
        <v>5</v>
      </c>
      <c r="B445" s="24" t="b">
        <f aca="false">A445&lt;=Inputs!$B$17</f>
        <v>0</v>
      </c>
      <c r="C445" s="25" t="n">
        <f aca="false">IF(A445=2,C444*(1-Inputs!$B$22),C444)</f>
        <v>0.1656</v>
      </c>
      <c r="D445" s="26" t="n">
        <f aca="false">IF(B445,C445*(VLOOKUP("65",Inputs!$A$29:$K$33,3,FALSE())*(Inputs!$B$25/14)*Inputs!$B$5+VLOOKUP("65",Inputs!$A$29:$K$33,4,FALSE())*(Inputs!$B$25/14)*Inputs!$B$12+VLOOKUP("65",Inputs!$A$29:$K$33,5,FALSE())*(Inputs!$B$25/14)*Inputs!$B$13)+(1-C445)*(VLOOKUP("65",Inputs!$A$29:$K$33,6,FALSE())*(Inputs!$B$25/14)*Inputs!$B$5+VLOOKUP("65",Inputs!$A$29:$K$33,7,FALSE())*(Inputs!$B$25/14)*Inputs!$B$12+VLOOKUP("65",Inputs!$A$29:$K$33,8,FALSE())*(Inputs!$B$25/14)*Inputs!$B$13),C445*((VLOOKUP("65",Inputs!$A$29:$K$33,3,FALSE())*(Inputs!$B$25/14)*Inputs!$B$5+VLOOKUP("65",Inputs!$A$29:$K$33,4,FALSE())*(Inputs!$B$25/14)*Inputs!$B$12+VLOOKUP("65",Inputs!$A$29:$K$33,5,FALSE())*(Inputs!$B$25/14)*Inputs!$B$13)+Inputs!$B$18)+(1-C445)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45" s="25" t="n">
        <f aca="false">0</f>
        <v>0</v>
      </c>
      <c r="F44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6" customFormat="false" ht="15" hidden="false" customHeight="true" outlineLevel="0" collapsed="false">
      <c r="A446" s="23" t="n">
        <v>6</v>
      </c>
      <c r="B446" s="24" t="b">
        <f aca="false">A446&lt;=Inputs!$B$17</f>
        <v>0</v>
      </c>
      <c r="C446" s="25" t="n">
        <f aca="false">IF(A446=2,C445*(1-Inputs!$B$22),C445)</f>
        <v>0.1656</v>
      </c>
      <c r="D446" s="26" t="n">
        <f aca="false">IF(B446,C446*(VLOOKUP("65",Inputs!$A$29:$K$33,3,FALSE())*(Inputs!$B$25/14)*Inputs!$B$5+VLOOKUP("65",Inputs!$A$29:$K$33,4,FALSE())*(Inputs!$B$25/14)*Inputs!$B$12+VLOOKUP("65",Inputs!$A$29:$K$33,5,FALSE())*(Inputs!$B$25/14)*Inputs!$B$13)+(1-C446)*(VLOOKUP("65",Inputs!$A$29:$K$33,6,FALSE())*(Inputs!$B$25/14)*Inputs!$B$5+VLOOKUP("65",Inputs!$A$29:$K$33,7,FALSE())*(Inputs!$B$25/14)*Inputs!$B$12+VLOOKUP("65",Inputs!$A$29:$K$33,8,FALSE())*(Inputs!$B$25/14)*Inputs!$B$13),C446*((VLOOKUP("65",Inputs!$A$29:$K$33,3,FALSE())*(Inputs!$B$25/14)*Inputs!$B$5+VLOOKUP("65",Inputs!$A$29:$K$33,4,FALSE())*(Inputs!$B$25/14)*Inputs!$B$12+VLOOKUP("65",Inputs!$A$29:$K$33,5,FALSE())*(Inputs!$B$25/14)*Inputs!$B$13)+Inputs!$B$18)+(1-C446)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46" s="25" t="n">
        <f aca="false">0</f>
        <v>0</v>
      </c>
      <c r="F44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7" customFormat="false" ht="15" hidden="false" customHeight="true" outlineLevel="0" collapsed="false">
      <c r="A447" s="23" t="n">
        <v>7</v>
      </c>
      <c r="B447" s="24" t="b">
        <f aca="false">A447&lt;=Inputs!$B$17</f>
        <v>0</v>
      </c>
      <c r="C447" s="25" t="n">
        <f aca="false">IF(A447=2,C446*(1-Inputs!$B$22),C446)</f>
        <v>0.1656</v>
      </c>
      <c r="D447" s="26" t="n">
        <f aca="false">IF(B447,C447*(VLOOKUP("65",Inputs!$A$29:$K$33,3,FALSE())*(Inputs!$B$25/14)*Inputs!$B$5+VLOOKUP("65",Inputs!$A$29:$K$33,4,FALSE())*(Inputs!$B$25/14)*Inputs!$B$12+VLOOKUP("65",Inputs!$A$29:$K$33,5,FALSE())*(Inputs!$B$25/14)*Inputs!$B$13)+(1-C447)*(VLOOKUP("65",Inputs!$A$29:$K$33,6,FALSE())*(Inputs!$B$25/14)*Inputs!$B$5+VLOOKUP("65",Inputs!$A$29:$K$33,7,FALSE())*(Inputs!$B$25/14)*Inputs!$B$12+VLOOKUP("65",Inputs!$A$29:$K$33,8,FALSE())*(Inputs!$B$25/14)*Inputs!$B$13),C447*((VLOOKUP("65",Inputs!$A$29:$K$33,3,FALSE())*(Inputs!$B$25/14)*Inputs!$B$5+VLOOKUP("65",Inputs!$A$29:$K$33,4,FALSE())*(Inputs!$B$25/14)*Inputs!$B$12+VLOOKUP("65",Inputs!$A$29:$K$33,5,FALSE())*(Inputs!$B$25/14)*Inputs!$B$13)+Inputs!$B$18)+(1-C447)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47" s="25" t="n">
        <f aca="false">0</f>
        <v>0</v>
      </c>
      <c r="F44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8" customFormat="false" ht="15" hidden="false" customHeight="true" outlineLevel="0" collapsed="false">
      <c r="A448" s="23" t="n">
        <v>8</v>
      </c>
      <c r="B448" s="24" t="b">
        <f aca="false">A448&lt;=Inputs!$B$17</f>
        <v>0</v>
      </c>
      <c r="C448" s="25" t="n">
        <f aca="false">IF(A448=2,C447*(1-Inputs!$B$22),C447)</f>
        <v>0.1656</v>
      </c>
      <c r="D448" s="26" t="n">
        <f aca="false">IF(B448,C448*(VLOOKUP("65",Inputs!$A$29:$K$33,3,FALSE())*(Inputs!$B$25/14)*Inputs!$B$5+VLOOKUP("65",Inputs!$A$29:$K$33,4,FALSE())*(Inputs!$B$25/14)*Inputs!$B$12+VLOOKUP("65",Inputs!$A$29:$K$33,5,FALSE())*(Inputs!$B$25/14)*Inputs!$B$13)+(1-C448)*(VLOOKUP("65",Inputs!$A$29:$K$33,6,FALSE())*(Inputs!$B$25/14)*Inputs!$B$5+VLOOKUP("65",Inputs!$A$29:$K$33,7,FALSE())*(Inputs!$B$25/14)*Inputs!$B$12+VLOOKUP("65",Inputs!$A$29:$K$33,8,FALSE())*(Inputs!$B$25/14)*Inputs!$B$13),C448*((VLOOKUP("65",Inputs!$A$29:$K$33,3,FALSE())*(Inputs!$B$25/14)*Inputs!$B$5+VLOOKUP("65",Inputs!$A$29:$K$33,4,FALSE())*(Inputs!$B$25/14)*Inputs!$B$12+VLOOKUP("65",Inputs!$A$29:$K$33,5,FALSE())*(Inputs!$B$25/14)*Inputs!$B$13)+Inputs!$B$18)+(1-C448)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48" s="25" t="n">
        <f aca="false">0</f>
        <v>0</v>
      </c>
      <c r="F44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49" customFormat="false" ht="15" hidden="false" customHeight="true" outlineLevel="0" collapsed="false">
      <c r="A449" s="23" t="n">
        <v>9</v>
      </c>
      <c r="B449" s="24" t="b">
        <f aca="false">A449&lt;=Inputs!$B$17</f>
        <v>0</v>
      </c>
      <c r="C449" s="25" t="n">
        <f aca="false">IF(A449=2,C448*(1-Inputs!$B$22),C448)</f>
        <v>0.1656</v>
      </c>
      <c r="D449" s="26" t="n">
        <f aca="false">IF(B449,C449*(VLOOKUP("65",Inputs!$A$29:$K$33,3,FALSE())*(Inputs!$B$25/14)*Inputs!$B$5+VLOOKUP("65",Inputs!$A$29:$K$33,4,FALSE())*(Inputs!$B$25/14)*Inputs!$B$12+VLOOKUP("65",Inputs!$A$29:$K$33,5,FALSE())*(Inputs!$B$25/14)*Inputs!$B$13)+(1-C449)*(VLOOKUP("65",Inputs!$A$29:$K$33,6,FALSE())*(Inputs!$B$25/14)*Inputs!$B$5+VLOOKUP("65",Inputs!$A$29:$K$33,7,FALSE())*(Inputs!$B$25/14)*Inputs!$B$12+VLOOKUP("65",Inputs!$A$29:$K$33,8,FALSE())*(Inputs!$B$25/14)*Inputs!$B$13),C449*((VLOOKUP("65",Inputs!$A$29:$K$33,3,FALSE())*(Inputs!$B$25/14)*Inputs!$B$5+VLOOKUP("65",Inputs!$A$29:$K$33,4,FALSE())*(Inputs!$B$25/14)*Inputs!$B$12+VLOOKUP("65",Inputs!$A$29:$K$33,5,FALSE())*(Inputs!$B$25/14)*Inputs!$B$13)+Inputs!$B$18)+(1-C449)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49" s="25" t="n">
        <f aca="false">0</f>
        <v>0</v>
      </c>
      <c r="F44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50" customFormat="false" ht="15" hidden="false" customHeight="true" outlineLevel="0" collapsed="false">
      <c r="A450" s="23" t="n">
        <v>10</v>
      </c>
      <c r="B450" s="24" t="b">
        <f aca="false">A450&lt;=Inputs!$B$17</f>
        <v>0</v>
      </c>
      <c r="C450" s="25" t="n">
        <f aca="false">IF(A450=2,C449*(1-Inputs!$B$22),C449)</f>
        <v>0.1656</v>
      </c>
      <c r="D450" s="26" t="n">
        <f aca="false">IF(B450,C450*(VLOOKUP("65",Inputs!$A$29:$K$33,3,FALSE())*(Inputs!$B$25/14)*Inputs!$B$5+VLOOKUP("65",Inputs!$A$29:$K$33,4,FALSE())*(Inputs!$B$25/14)*Inputs!$B$12+VLOOKUP("65",Inputs!$A$29:$K$33,5,FALSE())*(Inputs!$B$25/14)*Inputs!$B$13)+(1-C450)*(VLOOKUP("65",Inputs!$A$29:$K$33,6,FALSE())*(Inputs!$B$25/14)*Inputs!$B$5+VLOOKUP("65",Inputs!$A$29:$K$33,7,FALSE())*(Inputs!$B$25/14)*Inputs!$B$12+VLOOKUP("65",Inputs!$A$29:$K$33,8,FALSE())*(Inputs!$B$25/14)*Inputs!$B$13),C450*((VLOOKUP("65",Inputs!$A$29:$K$33,3,FALSE())*(Inputs!$B$25/14)*Inputs!$B$5+VLOOKUP("65",Inputs!$A$29:$K$33,4,FALSE())*(Inputs!$B$25/14)*Inputs!$B$12+VLOOKUP("65",Inputs!$A$29:$K$33,5,FALSE())*(Inputs!$B$25/14)*Inputs!$B$13)+Inputs!$B$18)+(1-C450)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50" s="25" t="n">
        <f aca="false">0</f>
        <v>0</v>
      </c>
      <c r="F45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51" customFormat="false" ht="15" hidden="false" customHeight="true" outlineLevel="0" collapsed="false">
      <c r="A451" s="23" t="n">
        <v>11</v>
      </c>
      <c r="B451" s="24" t="b">
        <f aca="false">A451&lt;=Inputs!$B$17</f>
        <v>0</v>
      </c>
      <c r="C451" s="25" t="n">
        <f aca="false">IF(A451=2,C450*(1-Inputs!$B$22),C450)</f>
        <v>0.1656</v>
      </c>
      <c r="D451" s="26" t="n">
        <f aca="false">IF(B451,C451*(VLOOKUP("65",Inputs!$A$29:$K$33,3,FALSE())*(Inputs!$B$25/14)*Inputs!$B$5+VLOOKUP("65",Inputs!$A$29:$K$33,4,FALSE())*(Inputs!$B$25/14)*Inputs!$B$12+VLOOKUP("65",Inputs!$A$29:$K$33,5,FALSE())*(Inputs!$B$25/14)*Inputs!$B$13)+(1-C451)*(VLOOKUP("65",Inputs!$A$29:$K$33,6,FALSE())*(Inputs!$B$25/14)*Inputs!$B$5+VLOOKUP("65",Inputs!$A$29:$K$33,7,FALSE())*(Inputs!$B$25/14)*Inputs!$B$12+VLOOKUP("65",Inputs!$A$29:$K$33,8,FALSE())*(Inputs!$B$25/14)*Inputs!$B$13),C451*((VLOOKUP("65",Inputs!$A$29:$K$33,3,FALSE())*(Inputs!$B$25/14)*Inputs!$B$5+VLOOKUP("65",Inputs!$A$29:$K$33,4,FALSE())*(Inputs!$B$25/14)*Inputs!$B$12+VLOOKUP("65",Inputs!$A$29:$K$33,5,FALSE())*(Inputs!$B$25/14)*Inputs!$B$13)+Inputs!$B$18)+(1-C451)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51" s="25" t="n">
        <f aca="false">0</f>
        <v>0</v>
      </c>
      <c r="F45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52" customFormat="false" ht="15" hidden="false" customHeight="true" outlineLevel="0" collapsed="false">
      <c r="A452" s="23" t="n">
        <v>12</v>
      </c>
      <c r="B452" s="24" t="b">
        <f aca="false">A452&lt;=Inputs!$B$17</f>
        <v>0</v>
      </c>
      <c r="C452" s="25" t="n">
        <f aca="false">IF(A452=2,C451*(1-Inputs!$B$22),C451)</f>
        <v>0.1656</v>
      </c>
      <c r="D452" s="26" t="n">
        <f aca="false">IF(B452,C452*(VLOOKUP("65",Inputs!$A$29:$K$33,3,FALSE())*(Inputs!$B$25/14)*Inputs!$B$5+VLOOKUP("65",Inputs!$A$29:$K$33,4,FALSE())*(Inputs!$B$25/14)*Inputs!$B$12+VLOOKUP("65",Inputs!$A$29:$K$33,5,FALSE())*(Inputs!$B$25/14)*Inputs!$B$13)+(1-C452)*(VLOOKUP("65",Inputs!$A$29:$K$33,6,FALSE())*(Inputs!$B$25/14)*Inputs!$B$5+VLOOKUP("65",Inputs!$A$29:$K$33,7,FALSE())*(Inputs!$B$25/14)*Inputs!$B$12+VLOOKUP("65",Inputs!$A$29:$K$33,8,FALSE())*(Inputs!$B$25/14)*Inputs!$B$13),C452*((VLOOKUP("65",Inputs!$A$29:$K$33,3,FALSE())*(Inputs!$B$25/14)*Inputs!$B$5+VLOOKUP("65",Inputs!$A$29:$K$33,4,FALSE())*(Inputs!$B$25/14)*Inputs!$B$12+VLOOKUP("65",Inputs!$A$29:$K$33,5,FALSE())*(Inputs!$B$25/14)*Inputs!$B$13)+Inputs!$B$18)+(1-C452)*((VLOOKUP("65",Inputs!$A$29:$K$33,9,FALSE())*(Inputs!$B$25/14)*Inputs!$B$5+VLOOKUP("65",Inputs!$A$29:$K$33,10,FALSE())*(Inputs!$B$25/14)*Inputs!$B$12+VLOOKUP("65",Inputs!$A$29:$K$33,11,FALSE())*(Inputs!$B$25/14)*Inputs!$B$13)))</f>
        <v>291.405232110607</v>
      </c>
      <c r="E452" s="25" t="n">
        <f aca="false">0</f>
        <v>0</v>
      </c>
      <c r="F45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53" customFormat="false" ht="15" hidden="false" customHeight="true" outlineLevel="0" collapsed="false">
      <c r="A453" s="27" t="s">
        <v>125</v>
      </c>
      <c r="D453" s="28" t="n">
        <f aca="false">SUM(D441:D452)</f>
        <v>3134.01125873355</v>
      </c>
      <c r="F453" s="28" t="n">
        <f aca="false">SUM(F441:F452)</f>
        <v>3910.56563346297</v>
      </c>
    </row>
    <row r="455" customFormat="false" ht="15" hidden="false" customHeight="true" outlineLevel="0" collapsed="false">
      <c r="A455" s="27" t="s">
        <v>175</v>
      </c>
    </row>
    <row r="456" customFormat="false" ht="21.75" hidden="false" customHeight="true" outlineLevel="0" collapsed="false">
      <c r="A456" s="43" t="s">
        <v>92</v>
      </c>
      <c r="B456" s="43" t="s">
        <v>145</v>
      </c>
      <c r="C456" s="43" t="s">
        <v>146</v>
      </c>
      <c r="D456" s="43" t="s">
        <v>147</v>
      </c>
      <c r="E456" s="43" t="s">
        <v>148</v>
      </c>
      <c r="F456" s="43" t="s">
        <v>149</v>
      </c>
    </row>
    <row r="457" customFormat="false" ht="15" hidden="false" customHeight="true" outlineLevel="0" collapsed="false">
      <c r="A457" s="23" t="n">
        <v>1</v>
      </c>
      <c r="B457" s="24" t="b">
        <f aca="false">A457&lt;=Inputs!$B$17</f>
        <v>1</v>
      </c>
      <c r="C457" s="25" t="n">
        <f aca="false">VLOOKUP("65",Inputs!$A$29:$K$33,2,FALSE())</f>
        <v>0.24</v>
      </c>
      <c r="D457" s="26" t="n">
        <f aca="false">IF(B457,C457*(VLOOKUP("65",Inputs!$A$29:$K$33,3,FALSE())*(Inputs!$B$25/14)*Inputs!$B$5+VLOOKUP("65",Inputs!$A$29:$K$33,4,FALSE())*(Inputs!$B$25/14)*Inputs!$B$12+VLOOKUP("65",Inputs!$A$29:$K$33,5,FALSE())*(Inputs!$B$25/14)*Inputs!$B$13)+(1-C457)*(VLOOKUP("65",Inputs!$A$29:$K$33,6,FALSE())*(Inputs!$B$25/14)*Inputs!$B$5+VLOOKUP("65",Inputs!$A$29:$K$33,7,FALSE())*(Inputs!$B$25/14)*Inputs!$B$12+VLOOKUP("65",Inputs!$A$29:$K$33,8,FALSE())*(Inputs!$B$25/14)*Inputs!$B$13),C457*((VLOOKUP("65",Inputs!$A$29:$K$33,3,FALSE())*(Inputs!$B$25/14)*Inputs!$B$5+VLOOKUP("65",Inputs!$A$29:$K$33,4,FALSE())*(Inputs!$B$25/14)*Inputs!$B$12+VLOOKUP("65",Inputs!$A$29:$K$33,5,FALSE())*(Inputs!$B$25/14)*Inputs!$B$13)+Inputs!$B$18)+(1-C457)*((INDEX(Inputs!$A$37:$C$37,1,1)*(Inputs!$B$25/14)*Inputs!$B$5+INDEX(Inputs!$A$37:$C$37,1,2)*(Inputs!$B$25/14)*Inputs!$B$12+INDEX(Inputs!$A$37:$C$37,1,3)*(Inputs!$B$25/14)*Inputs!$B$13)))</f>
        <v>164.887132751071</v>
      </c>
      <c r="E457" s="25" t="n">
        <f aca="false">Inputs!$B$21</f>
        <v>0.083</v>
      </c>
      <c r="F457" s="26" t="n">
        <f aca="false">E457*(VLOOKUP("65",Inputs!$A$29:$K$33,3,FALSE())*(Inputs!$B$25/14)*Inputs!$B$5+VLOOKUP("65",Inputs!$A$29:$K$33,4,FALSE())*(Inputs!$B$25/14)*Inputs!$B$12+VLOOKUP("65",Inputs!$A$29:$K$33,5,FALSE())*(Inputs!$B$25/14)*Inputs!$B$13)+(1-E457)*(INDEX(Inputs!$A$37:$C$37,1,1)*(Inputs!$B$25/14)*Inputs!$B$5+INDEX(Inputs!$A$37:$C$37,1,2)*(Inputs!$B$25/14)*Inputs!$B$12+INDEX(Inputs!$A$37:$C$37,1,3)*(Inputs!$B$25/14)*Inputs!$B$13)</f>
        <v>307.010383574576</v>
      </c>
    </row>
    <row r="458" customFormat="false" ht="15" hidden="false" customHeight="true" outlineLevel="0" collapsed="false">
      <c r="A458" s="23" t="n">
        <v>2</v>
      </c>
      <c r="B458" s="24" t="b">
        <f aca="false">A458&lt;=Inputs!$B$17</f>
        <v>1</v>
      </c>
      <c r="C458" s="25" t="n">
        <f aca="false">C457*(1-Inputs!$B$22)</f>
        <v>0.1656</v>
      </c>
      <c r="D458" s="26" t="n">
        <f aca="false">IF(B458,C458*(VLOOKUP("65",Inputs!$A$29:$K$33,3,FALSE())*(Inputs!$B$25/14)*Inputs!$B$5+VLOOKUP("65",Inputs!$A$29:$K$33,4,FALSE())*(Inputs!$B$25/14)*Inputs!$B$12+VLOOKUP("65",Inputs!$A$29:$K$33,5,FALSE())*(Inputs!$B$25/14)*Inputs!$B$13)+(1-C458)*(VLOOKUP("65",Inputs!$A$29:$K$33,6,FALSE())*(Inputs!$B$25/14)*Inputs!$B$5+VLOOKUP("65",Inputs!$A$29:$K$33,7,FALSE())*(Inputs!$B$25/14)*Inputs!$B$12+VLOOKUP("65",Inputs!$A$29:$K$33,8,FALSE())*(Inputs!$B$25/14)*Inputs!$B$13),C458*((VLOOKUP("65",Inputs!$A$29:$K$33,3,FALSE())*(Inputs!$B$25/14)*Inputs!$B$5+VLOOKUP("65",Inputs!$A$29:$K$33,4,FALSE())*(Inputs!$B$25/14)*Inputs!$B$12+VLOOKUP("65",Inputs!$A$29:$K$33,5,FALSE())*(Inputs!$B$25/14)*Inputs!$B$13)+Inputs!$B$18)+(1-C458)*((INDEX(Inputs!$A$37:$C$37,1,1)*(Inputs!$B$25/14)*Inputs!$B$5+INDEX(Inputs!$A$37:$C$37,1,2)*(Inputs!$B$25/14)*Inputs!$B$12+INDEX(Inputs!$A$37:$C$37,1,3)*(Inputs!$B$25/14)*Inputs!$B$13)))</f>
        <v>173.238518493507</v>
      </c>
      <c r="E458" s="25" t="n">
        <f aca="false">0</f>
        <v>0</v>
      </c>
      <c r="F45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59" customFormat="false" ht="15" hidden="false" customHeight="true" outlineLevel="0" collapsed="false">
      <c r="A459" s="23" t="n">
        <v>3</v>
      </c>
      <c r="B459" s="24" t="b">
        <f aca="false">A459&lt;=Inputs!$B$17</f>
        <v>1</v>
      </c>
      <c r="C459" s="25" t="n">
        <f aca="false">C458*(1-Inputs!$B$22)</f>
        <v>0.114264</v>
      </c>
      <c r="D459" s="26" t="n">
        <f aca="false">IF(B459,C459*(VLOOKUP("65",Inputs!$A$29:$K$33,3,FALSE())*(Inputs!$B$25/14)*Inputs!$B$5+VLOOKUP("65",Inputs!$A$29:$K$33,4,FALSE())*(Inputs!$B$25/14)*Inputs!$B$12+VLOOKUP("65",Inputs!$A$29:$K$33,5,FALSE())*(Inputs!$B$25/14)*Inputs!$B$13)+(1-C459)*(VLOOKUP("65",Inputs!$A$29:$K$33,6,FALSE())*(Inputs!$B$25/14)*Inputs!$B$5+VLOOKUP("65",Inputs!$A$29:$K$33,7,FALSE())*(Inputs!$B$25/14)*Inputs!$B$12+VLOOKUP("65",Inputs!$A$29:$K$33,8,FALSE())*(Inputs!$B$25/14)*Inputs!$B$13),C459*((VLOOKUP("65",Inputs!$A$29:$K$33,3,FALSE())*(Inputs!$B$25/14)*Inputs!$B$5+VLOOKUP("65",Inputs!$A$29:$K$33,4,FALSE())*(Inputs!$B$25/14)*Inputs!$B$12+VLOOKUP("65",Inputs!$A$29:$K$33,5,FALSE())*(Inputs!$B$25/14)*Inputs!$B$13)+Inputs!$B$18)+(1-C459)*((INDEX(Inputs!$A$37:$C$37,1,1)*(Inputs!$B$25/14)*Inputs!$B$5+INDEX(Inputs!$A$37:$C$37,1,2)*(Inputs!$B$25/14)*Inputs!$B$12+INDEX(Inputs!$A$37:$C$37,1,3)*(Inputs!$B$25/14)*Inputs!$B$13)))</f>
        <v>179.000974655788</v>
      </c>
      <c r="E459" s="25" t="n">
        <f aca="false">0</f>
        <v>0</v>
      </c>
      <c r="F45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0" customFormat="false" ht="15" hidden="false" customHeight="true" outlineLevel="0" collapsed="false">
      <c r="A460" s="23" t="n">
        <v>4</v>
      </c>
      <c r="B460" s="24" t="b">
        <f aca="false">A460&lt;=Inputs!$B$17</f>
        <v>0</v>
      </c>
      <c r="C460" s="25" t="n">
        <f aca="false">C459*(1-Inputs!$B$22)</f>
        <v>0.07884216</v>
      </c>
      <c r="D460" s="26" t="n">
        <f aca="false">IF(B460,C460*(VLOOKUP("65",Inputs!$A$29:$K$33,3,FALSE())*(Inputs!$B$25/14)*Inputs!$B$5+VLOOKUP("65",Inputs!$A$29:$K$33,4,FALSE())*(Inputs!$B$25/14)*Inputs!$B$12+VLOOKUP("65",Inputs!$A$29:$K$33,5,FALSE())*(Inputs!$B$25/14)*Inputs!$B$13)+(1-C460)*(VLOOKUP("65",Inputs!$A$29:$K$33,6,FALSE())*(Inputs!$B$25/14)*Inputs!$B$5+VLOOKUP("65",Inputs!$A$29:$K$33,7,FALSE())*(Inputs!$B$25/14)*Inputs!$B$12+VLOOKUP("65",Inputs!$A$29:$K$33,8,FALSE())*(Inputs!$B$25/14)*Inputs!$B$13),C460*((VLOOKUP("65",Inputs!$A$29:$K$33,3,FALSE())*(Inputs!$B$25/14)*Inputs!$B$5+VLOOKUP("65",Inputs!$A$29:$K$33,4,FALSE())*(Inputs!$B$25/14)*Inputs!$B$12+VLOOKUP("65",Inputs!$A$29:$K$33,5,FALSE())*(Inputs!$B$25/14)*Inputs!$B$13)+Inputs!$B$18)+(1-C460)*((INDEX(Inputs!$A$37:$C$37,1,1)*(Inputs!$B$25/14)*Inputs!$B$5+INDEX(Inputs!$A$37:$C$37,1,2)*(Inputs!$B$25/14)*Inputs!$B$12+INDEX(Inputs!$A$37:$C$37,1,3)*(Inputs!$B$25/14)*Inputs!$B$13)))</f>
        <v>324.467055452492</v>
      </c>
      <c r="E460" s="25" t="n">
        <f aca="false">0</f>
        <v>0</v>
      </c>
      <c r="F46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1" customFormat="false" ht="15" hidden="false" customHeight="true" outlineLevel="0" collapsed="false">
      <c r="A461" s="23" t="n">
        <v>5</v>
      </c>
      <c r="B461" s="24" t="b">
        <f aca="false">A461&lt;=Inputs!$B$17</f>
        <v>0</v>
      </c>
      <c r="C461" s="25" t="n">
        <f aca="false">C460*(1-Inputs!$B$22)</f>
        <v>0.0544010904</v>
      </c>
      <c r="D461" s="26" t="n">
        <f aca="false">IF(B461,C461*(VLOOKUP("65",Inputs!$A$29:$K$33,3,FALSE())*(Inputs!$B$25/14)*Inputs!$B$5+VLOOKUP("65",Inputs!$A$29:$K$33,4,FALSE())*(Inputs!$B$25/14)*Inputs!$B$12+VLOOKUP("65",Inputs!$A$29:$K$33,5,FALSE())*(Inputs!$B$25/14)*Inputs!$B$13)+(1-C461)*(VLOOKUP("65",Inputs!$A$29:$K$33,6,FALSE())*(Inputs!$B$25/14)*Inputs!$B$5+VLOOKUP("65",Inputs!$A$29:$K$33,7,FALSE())*(Inputs!$B$25/14)*Inputs!$B$12+VLOOKUP("65",Inputs!$A$29:$K$33,8,FALSE())*(Inputs!$B$25/14)*Inputs!$B$13),C461*((VLOOKUP("65",Inputs!$A$29:$K$33,3,FALSE())*(Inputs!$B$25/14)*Inputs!$B$5+VLOOKUP("65",Inputs!$A$29:$K$33,4,FALSE())*(Inputs!$B$25/14)*Inputs!$B$12+VLOOKUP("65",Inputs!$A$29:$K$33,5,FALSE())*(Inputs!$B$25/14)*Inputs!$B$13)+Inputs!$B$18)+(1-C461)*((INDEX(Inputs!$A$37:$C$37,1,1)*(Inputs!$B$25/14)*Inputs!$B$5+INDEX(Inputs!$A$37:$C$37,1,2)*(Inputs!$B$25/14)*Inputs!$B$12+INDEX(Inputs!$A$37:$C$37,1,3)*(Inputs!$B$25/14)*Inputs!$B$13)))</f>
        <v>325.43700712271</v>
      </c>
      <c r="E461" s="25" t="n">
        <f aca="false">0</f>
        <v>0</v>
      </c>
      <c r="F46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2" customFormat="false" ht="15" hidden="false" customHeight="true" outlineLevel="0" collapsed="false">
      <c r="A462" s="23" t="n">
        <v>6</v>
      </c>
      <c r="B462" s="24" t="b">
        <f aca="false">A462&lt;=Inputs!$B$17</f>
        <v>0</v>
      </c>
      <c r="C462" s="25" t="n">
        <f aca="false">C461*(1-Inputs!$B$22)</f>
        <v>0.037536752376</v>
      </c>
      <c r="D462" s="26" t="n">
        <f aca="false">IF(B462,C462*(VLOOKUP("65",Inputs!$A$29:$K$33,3,FALSE())*(Inputs!$B$25/14)*Inputs!$B$5+VLOOKUP("65",Inputs!$A$29:$K$33,4,FALSE())*(Inputs!$B$25/14)*Inputs!$B$12+VLOOKUP("65",Inputs!$A$29:$K$33,5,FALSE())*(Inputs!$B$25/14)*Inputs!$B$13)+(1-C462)*(VLOOKUP("65",Inputs!$A$29:$K$33,6,FALSE())*(Inputs!$B$25/14)*Inputs!$B$5+VLOOKUP("65",Inputs!$A$29:$K$33,7,FALSE())*(Inputs!$B$25/14)*Inputs!$B$12+VLOOKUP("65",Inputs!$A$29:$K$33,8,FALSE())*(Inputs!$B$25/14)*Inputs!$B$13),C462*((VLOOKUP("65",Inputs!$A$29:$K$33,3,FALSE())*(Inputs!$B$25/14)*Inputs!$B$5+VLOOKUP("65",Inputs!$A$29:$K$33,4,FALSE())*(Inputs!$B$25/14)*Inputs!$B$12+VLOOKUP("65",Inputs!$A$29:$K$33,5,FALSE())*(Inputs!$B$25/14)*Inputs!$B$13)+Inputs!$B$18)+(1-C462)*((INDEX(Inputs!$A$37:$C$37,1,1)*(Inputs!$B$25/14)*Inputs!$B$5+INDEX(Inputs!$A$37:$C$37,1,2)*(Inputs!$B$25/14)*Inputs!$B$12+INDEX(Inputs!$A$37:$C$37,1,3)*(Inputs!$B$25/14)*Inputs!$B$13)))</f>
        <v>326.106273775161</v>
      </c>
      <c r="E462" s="25" t="n">
        <f aca="false">0</f>
        <v>0</v>
      </c>
      <c r="F46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3" customFormat="false" ht="15" hidden="false" customHeight="true" outlineLevel="0" collapsed="false">
      <c r="A463" s="23" t="n">
        <v>7</v>
      </c>
      <c r="B463" s="24" t="b">
        <f aca="false">A463&lt;=Inputs!$B$17</f>
        <v>0</v>
      </c>
      <c r="C463" s="25" t="n">
        <f aca="false">C462*(1-Inputs!$B$22)</f>
        <v>0.02590035913944</v>
      </c>
      <c r="D463" s="26" t="n">
        <f aca="false">IF(B463,C463*(VLOOKUP("65",Inputs!$A$29:$K$33,3,FALSE())*(Inputs!$B$25/14)*Inputs!$B$5+VLOOKUP("65",Inputs!$A$29:$K$33,4,FALSE())*(Inputs!$B$25/14)*Inputs!$B$12+VLOOKUP("65",Inputs!$A$29:$K$33,5,FALSE())*(Inputs!$B$25/14)*Inputs!$B$13)+(1-C463)*(VLOOKUP("65",Inputs!$A$29:$K$33,6,FALSE())*(Inputs!$B$25/14)*Inputs!$B$5+VLOOKUP("65",Inputs!$A$29:$K$33,7,FALSE())*(Inputs!$B$25/14)*Inputs!$B$12+VLOOKUP("65",Inputs!$A$29:$K$33,8,FALSE())*(Inputs!$B$25/14)*Inputs!$B$13),C463*((VLOOKUP("65",Inputs!$A$29:$K$33,3,FALSE())*(Inputs!$B$25/14)*Inputs!$B$5+VLOOKUP("65",Inputs!$A$29:$K$33,4,FALSE())*(Inputs!$B$25/14)*Inputs!$B$12+VLOOKUP("65",Inputs!$A$29:$K$33,5,FALSE())*(Inputs!$B$25/14)*Inputs!$B$13)+Inputs!$B$18)+(1-C463)*((INDEX(Inputs!$A$37:$C$37,1,1)*(Inputs!$B$25/14)*Inputs!$B$5+INDEX(Inputs!$A$37:$C$37,1,2)*(Inputs!$B$25/14)*Inputs!$B$12+INDEX(Inputs!$A$37:$C$37,1,3)*(Inputs!$B$25/14)*Inputs!$B$13)))</f>
        <v>326.568067765352</v>
      </c>
      <c r="E463" s="25" t="n">
        <f aca="false">0</f>
        <v>0</v>
      </c>
      <c r="F46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4" customFormat="false" ht="15" hidden="false" customHeight="true" outlineLevel="0" collapsed="false">
      <c r="A464" s="23" t="n">
        <v>8</v>
      </c>
      <c r="B464" s="24" t="b">
        <f aca="false">A464&lt;=Inputs!$B$17</f>
        <v>0</v>
      </c>
      <c r="C464" s="25" t="n">
        <f aca="false">C463*(1-Inputs!$B$22)</f>
        <v>0.0178712478062136</v>
      </c>
      <c r="D464" s="26" t="n">
        <f aca="false">IF(B464,C464*(VLOOKUP("65",Inputs!$A$29:$K$33,3,FALSE())*(Inputs!$B$25/14)*Inputs!$B$5+VLOOKUP("65",Inputs!$A$29:$K$33,4,FALSE())*(Inputs!$B$25/14)*Inputs!$B$12+VLOOKUP("65",Inputs!$A$29:$K$33,5,FALSE())*(Inputs!$B$25/14)*Inputs!$B$13)+(1-C464)*(VLOOKUP("65",Inputs!$A$29:$K$33,6,FALSE())*(Inputs!$B$25/14)*Inputs!$B$5+VLOOKUP("65",Inputs!$A$29:$K$33,7,FALSE())*(Inputs!$B$25/14)*Inputs!$B$12+VLOOKUP("65",Inputs!$A$29:$K$33,8,FALSE())*(Inputs!$B$25/14)*Inputs!$B$13),C464*((VLOOKUP("65",Inputs!$A$29:$K$33,3,FALSE())*(Inputs!$B$25/14)*Inputs!$B$5+VLOOKUP("65",Inputs!$A$29:$K$33,4,FALSE())*(Inputs!$B$25/14)*Inputs!$B$12+VLOOKUP("65",Inputs!$A$29:$K$33,5,FALSE())*(Inputs!$B$25/14)*Inputs!$B$13)+Inputs!$B$18)+(1-C464)*((INDEX(Inputs!$A$37:$C$37,1,1)*(Inputs!$B$25/14)*Inputs!$B$5+INDEX(Inputs!$A$37:$C$37,1,2)*(Inputs!$B$25/14)*Inputs!$B$12+INDEX(Inputs!$A$37:$C$37,1,3)*(Inputs!$B$25/14)*Inputs!$B$13)))</f>
        <v>326.886705618584</v>
      </c>
      <c r="E464" s="25" t="n">
        <f aca="false">0</f>
        <v>0</v>
      </c>
      <c r="F46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5" customFormat="false" ht="15" hidden="false" customHeight="true" outlineLevel="0" collapsed="false">
      <c r="A465" s="23" t="n">
        <v>9</v>
      </c>
      <c r="B465" s="24" t="b">
        <f aca="false">A465&lt;=Inputs!$B$17</f>
        <v>0</v>
      </c>
      <c r="C465" s="25" t="n">
        <f aca="false">C464*(1-Inputs!$B$22)</f>
        <v>0.0123311609862874</v>
      </c>
      <c r="D465" s="26" t="n">
        <f aca="false">IF(B465,C465*(VLOOKUP("65",Inputs!$A$29:$K$33,3,FALSE())*(Inputs!$B$25/14)*Inputs!$B$5+VLOOKUP("65",Inputs!$A$29:$K$33,4,FALSE())*(Inputs!$B$25/14)*Inputs!$B$12+VLOOKUP("65",Inputs!$A$29:$K$33,5,FALSE())*(Inputs!$B$25/14)*Inputs!$B$13)+(1-C465)*(VLOOKUP("65",Inputs!$A$29:$K$33,6,FALSE())*(Inputs!$B$25/14)*Inputs!$B$5+VLOOKUP("65",Inputs!$A$29:$K$33,7,FALSE())*(Inputs!$B$25/14)*Inputs!$B$12+VLOOKUP("65",Inputs!$A$29:$K$33,8,FALSE())*(Inputs!$B$25/14)*Inputs!$B$13),C465*((VLOOKUP("65",Inputs!$A$29:$K$33,3,FALSE())*(Inputs!$B$25/14)*Inputs!$B$5+VLOOKUP("65",Inputs!$A$29:$K$33,4,FALSE())*(Inputs!$B$25/14)*Inputs!$B$12+VLOOKUP("65",Inputs!$A$29:$K$33,5,FALSE())*(Inputs!$B$25/14)*Inputs!$B$13)+Inputs!$B$18)+(1-C465)*((INDEX(Inputs!$A$37:$C$37,1,1)*(Inputs!$B$25/14)*Inputs!$B$5+INDEX(Inputs!$A$37:$C$37,1,2)*(Inputs!$B$25/14)*Inputs!$B$12+INDEX(Inputs!$A$37:$C$37,1,3)*(Inputs!$B$25/14)*Inputs!$B$13)))</f>
        <v>327.106565737314</v>
      </c>
      <c r="E465" s="25" t="n">
        <f aca="false">0</f>
        <v>0</v>
      </c>
      <c r="F46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6" customFormat="false" ht="15" hidden="false" customHeight="true" outlineLevel="0" collapsed="false">
      <c r="A466" s="23" t="n">
        <v>10</v>
      </c>
      <c r="B466" s="24" t="b">
        <f aca="false">A466&lt;=Inputs!$B$17</f>
        <v>0</v>
      </c>
      <c r="C466" s="25" t="n">
        <f aca="false">C465*(1-Inputs!$B$22)</f>
        <v>0.00850850108053829</v>
      </c>
      <c r="D466" s="26" t="n">
        <f aca="false">IF(B466,C466*(VLOOKUP("65",Inputs!$A$29:$K$33,3,FALSE())*(Inputs!$B$25/14)*Inputs!$B$5+VLOOKUP("65",Inputs!$A$29:$K$33,4,FALSE())*(Inputs!$B$25/14)*Inputs!$B$12+VLOOKUP("65",Inputs!$A$29:$K$33,5,FALSE())*(Inputs!$B$25/14)*Inputs!$B$13)+(1-C466)*(VLOOKUP("65",Inputs!$A$29:$K$33,6,FALSE())*(Inputs!$B$25/14)*Inputs!$B$5+VLOOKUP("65",Inputs!$A$29:$K$33,7,FALSE())*(Inputs!$B$25/14)*Inputs!$B$12+VLOOKUP("65",Inputs!$A$29:$K$33,8,FALSE())*(Inputs!$B$25/14)*Inputs!$B$13),C466*((VLOOKUP("65",Inputs!$A$29:$K$33,3,FALSE())*(Inputs!$B$25/14)*Inputs!$B$5+VLOOKUP("65",Inputs!$A$29:$K$33,4,FALSE())*(Inputs!$B$25/14)*Inputs!$B$12+VLOOKUP("65",Inputs!$A$29:$K$33,5,FALSE())*(Inputs!$B$25/14)*Inputs!$B$13)+Inputs!$B$18)+(1-C466)*((INDEX(Inputs!$A$37:$C$37,1,1)*(Inputs!$B$25/14)*Inputs!$B$5+INDEX(Inputs!$A$37:$C$37,1,2)*(Inputs!$B$25/14)*Inputs!$B$12+INDEX(Inputs!$A$37:$C$37,1,3)*(Inputs!$B$25/14)*Inputs!$B$13)))</f>
        <v>327.258269219238</v>
      </c>
      <c r="E466" s="25" t="n">
        <f aca="false">0</f>
        <v>0</v>
      </c>
      <c r="F46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7" customFormat="false" ht="15" hidden="false" customHeight="true" outlineLevel="0" collapsed="false">
      <c r="A467" s="23" t="n">
        <v>11</v>
      </c>
      <c r="B467" s="24" t="b">
        <f aca="false">A467&lt;=Inputs!$B$17</f>
        <v>0</v>
      </c>
      <c r="C467" s="25" t="n">
        <f aca="false">C466*(1-Inputs!$B$22)</f>
        <v>0.00587086574557142</v>
      </c>
      <c r="D467" s="26" t="n">
        <f aca="false">IF(B467,C467*(VLOOKUP("65",Inputs!$A$29:$K$33,3,FALSE())*(Inputs!$B$25/14)*Inputs!$B$5+VLOOKUP("65",Inputs!$A$29:$K$33,4,FALSE())*(Inputs!$B$25/14)*Inputs!$B$12+VLOOKUP("65",Inputs!$A$29:$K$33,5,FALSE())*(Inputs!$B$25/14)*Inputs!$B$13)+(1-C467)*(VLOOKUP("65",Inputs!$A$29:$K$33,6,FALSE())*(Inputs!$B$25/14)*Inputs!$B$5+VLOOKUP("65",Inputs!$A$29:$K$33,7,FALSE())*(Inputs!$B$25/14)*Inputs!$B$12+VLOOKUP("65",Inputs!$A$29:$K$33,8,FALSE())*(Inputs!$B$25/14)*Inputs!$B$13),C467*((VLOOKUP("65",Inputs!$A$29:$K$33,3,FALSE())*(Inputs!$B$25/14)*Inputs!$B$5+VLOOKUP("65",Inputs!$A$29:$K$33,4,FALSE())*(Inputs!$B$25/14)*Inputs!$B$12+VLOOKUP("65",Inputs!$A$29:$K$33,5,FALSE())*(Inputs!$B$25/14)*Inputs!$B$13)+Inputs!$B$18)+(1-C467)*((INDEX(Inputs!$A$37:$C$37,1,1)*(Inputs!$B$25/14)*Inputs!$B$5+INDEX(Inputs!$A$37:$C$37,1,2)*(Inputs!$B$25/14)*Inputs!$B$12+INDEX(Inputs!$A$37:$C$37,1,3)*(Inputs!$B$25/14)*Inputs!$B$13)))</f>
        <v>327.362944621765</v>
      </c>
      <c r="E467" s="25" t="n">
        <f aca="false">0</f>
        <v>0</v>
      </c>
      <c r="F46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8" customFormat="false" ht="15" hidden="false" customHeight="true" outlineLevel="0" collapsed="false">
      <c r="A468" s="23" t="n">
        <v>12</v>
      </c>
      <c r="B468" s="24" t="b">
        <f aca="false">A468&lt;=Inputs!$B$17</f>
        <v>0</v>
      </c>
      <c r="C468" s="25" t="n">
        <f aca="false">C467*(1-Inputs!$B$22)</f>
        <v>0.00405089736444428</v>
      </c>
      <c r="D468" s="26" t="n">
        <f aca="false">IF(B468,C468*(VLOOKUP("65",Inputs!$A$29:$K$33,3,FALSE())*(Inputs!$B$25/14)*Inputs!$B$5+VLOOKUP("65",Inputs!$A$29:$K$33,4,FALSE())*(Inputs!$B$25/14)*Inputs!$B$12+VLOOKUP("65",Inputs!$A$29:$K$33,5,FALSE())*(Inputs!$B$25/14)*Inputs!$B$13)+(1-C468)*(VLOOKUP("65",Inputs!$A$29:$K$33,6,FALSE())*(Inputs!$B$25/14)*Inputs!$B$5+VLOOKUP("65",Inputs!$A$29:$K$33,7,FALSE())*(Inputs!$B$25/14)*Inputs!$B$12+VLOOKUP("65",Inputs!$A$29:$K$33,8,FALSE())*(Inputs!$B$25/14)*Inputs!$B$13),C468*((VLOOKUP("65",Inputs!$A$29:$K$33,3,FALSE())*(Inputs!$B$25/14)*Inputs!$B$5+VLOOKUP("65",Inputs!$A$29:$K$33,4,FALSE())*(Inputs!$B$25/14)*Inputs!$B$12+VLOOKUP("65",Inputs!$A$29:$K$33,5,FALSE())*(Inputs!$B$25/14)*Inputs!$B$13)+Inputs!$B$18)+(1-C468)*((INDEX(Inputs!$A$37:$C$37,1,1)*(Inputs!$B$25/14)*Inputs!$B$5+INDEX(Inputs!$A$37:$C$37,1,2)*(Inputs!$B$25/14)*Inputs!$B$12+INDEX(Inputs!$A$37:$C$37,1,3)*(Inputs!$B$25/14)*Inputs!$B$13)))</f>
        <v>327.435170649509</v>
      </c>
      <c r="E468" s="25" t="n">
        <f aca="false">0</f>
        <v>0</v>
      </c>
      <c r="F46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69" customFormat="false" ht="15" hidden="false" customHeight="true" outlineLevel="0" collapsed="false">
      <c r="A469" s="27" t="s">
        <v>125</v>
      </c>
      <c r="D469" s="28" t="n">
        <f aca="false">SUM(D457:D468)</f>
        <v>3455.75468586249</v>
      </c>
      <c r="F469" s="28" t="n">
        <f aca="false">SUM(F457:F468)</f>
        <v>3910.56563346297</v>
      </c>
    </row>
    <row r="471" customFormat="false" ht="15" hidden="false" customHeight="true" outlineLevel="0" collapsed="false">
      <c r="A471" s="27" t="s">
        <v>176</v>
      </c>
    </row>
    <row r="472" customFormat="false" ht="21.75" hidden="false" customHeight="true" outlineLevel="0" collapsed="false">
      <c r="A472" s="43" t="s">
        <v>92</v>
      </c>
      <c r="B472" s="43" t="s">
        <v>145</v>
      </c>
      <c r="C472" s="43" t="s">
        <v>146</v>
      </c>
      <c r="D472" s="43" t="s">
        <v>147</v>
      </c>
      <c r="E472" s="43" t="s">
        <v>148</v>
      </c>
      <c r="F472" s="43" t="s">
        <v>149</v>
      </c>
    </row>
    <row r="473" customFormat="false" ht="15" hidden="false" customHeight="true" outlineLevel="0" collapsed="false">
      <c r="A473" s="23" t="n">
        <v>1</v>
      </c>
      <c r="B473" s="24" t="b">
        <f aca="false">A473&lt;=Inputs!$B$17</f>
        <v>1</v>
      </c>
      <c r="C473" s="25" t="n">
        <f aca="false">VLOOKUP("65",Inputs!$A$29:$K$33,2,FALSE())</f>
        <v>0.24</v>
      </c>
      <c r="D473" s="26" t="n">
        <f aca="false">IF(B473,C473*(VLOOKUP("65",Inputs!$A$29:$K$33,3,FALSE())*(Inputs!$B$25/14)*Inputs!$B$5+VLOOKUP("65",Inputs!$A$29:$K$33,4,FALSE())*(Inputs!$B$25/14)*Inputs!$B$12+VLOOKUP("65",Inputs!$A$29:$K$33,5,FALSE())*(Inputs!$B$25/14)*Inputs!$B$13)+(1-C473)*(VLOOKUP("65",Inputs!$A$29:$K$33,6,FALSE())*(Inputs!$B$25/14)*Inputs!$B$5+VLOOKUP("65",Inputs!$A$29:$K$33,7,FALSE())*(Inputs!$B$25/14)*Inputs!$B$12+VLOOKUP("65",Inputs!$A$29:$K$33,8,FALSE())*(Inputs!$B$25/14)*Inputs!$B$13),C473*((VLOOKUP("65",Inputs!$A$29:$K$33,3,FALSE())*(Inputs!$B$25/14)*Inputs!$B$5+VLOOKUP("65",Inputs!$A$29:$K$33,4,FALSE())*(Inputs!$B$25/14)*Inputs!$B$12+VLOOKUP("65",Inputs!$A$29:$K$33,5,FALSE())*(Inputs!$B$25/14)*Inputs!$B$13)+Inputs!$B$18)+(1-C473)*((VLOOKUP("65",Inputs!$A$29:$K$33,9,FALSE())*(Inputs!$B$25/14)*Inputs!$B$5+VLOOKUP("65",Inputs!$A$29:$K$33,10,FALSE())*(Inputs!$B$25/14)*Inputs!$B$12+VLOOKUP("65",Inputs!$A$29:$K$33,11,FALSE())*(Inputs!$B$25/14)*Inputs!$B$13)))</f>
        <v>164.887132751071</v>
      </c>
      <c r="E473" s="25" t="n">
        <f aca="false">Inputs!$B$21</f>
        <v>0.083</v>
      </c>
      <c r="F473" s="26" t="n">
        <f aca="false">E473*(VLOOKUP("65",Inputs!$A$29:$K$33,3,FALSE())*(Inputs!$B$25/14)*Inputs!$B$5+VLOOKUP("65",Inputs!$A$29:$K$33,4,FALSE())*(Inputs!$B$25/14)*Inputs!$B$12+VLOOKUP("65",Inputs!$A$29:$K$33,5,FALSE())*(Inputs!$B$25/14)*Inputs!$B$13)+(1-E473)*(INDEX(Inputs!$A$37:$C$37,1,1)*(Inputs!$B$25/14)*Inputs!$B$5+INDEX(Inputs!$A$37:$C$37,1,2)*(Inputs!$B$25/14)*Inputs!$B$12+INDEX(Inputs!$A$37:$C$37,1,3)*(Inputs!$B$25/14)*Inputs!$B$13)</f>
        <v>307.010383574576</v>
      </c>
    </row>
    <row r="474" customFormat="false" ht="15" hidden="false" customHeight="true" outlineLevel="0" collapsed="false">
      <c r="A474" s="23" t="n">
        <v>2</v>
      </c>
      <c r="B474" s="24" t="b">
        <f aca="false">A474&lt;=Inputs!$B$17</f>
        <v>1</v>
      </c>
      <c r="C474" s="25" t="n">
        <f aca="false">C473*(1-Inputs!$B$22)</f>
        <v>0.1656</v>
      </c>
      <c r="D474" s="26" t="n">
        <f aca="false">IF(B474,C474*(VLOOKUP("65",Inputs!$A$29:$K$33,3,FALSE())*(Inputs!$B$25/14)*Inputs!$B$5+VLOOKUP("65",Inputs!$A$29:$K$33,4,FALSE())*(Inputs!$B$25/14)*Inputs!$B$12+VLOOKUP("65",Inputs!$A$29:$K$33,5,FALSE())*(Inputs!$B$25/14)*Inputs!$B$13)+(1-C474)*(VLOOKUP("65",Inputs!$A$29:$K$33,6,FALSE())*(Inputs!$B$25/14)*Inputs!$B$5+VLOOKUP("65",Inputs!$A$29:$K$33,7,FALSE())*(Inputs!$B$25/14)*Inputs!$B$12+VLOOKUP("65",Inputs!$A$29:$K$33,8,FALSE())*(Inputs!$B$25/14)*Inputs!$B$13),C474*((VLOOKUP("65",Inputs!$A$29:$K$33,3,FALSE())*(Inputs!$B$25/14)*Inputs!$B$5+VLOOKUP("65",Inputs!$A$29:$K$33,4,FALSE())*(Inputs!$B$25/14)*Inputs!$B$12+VLOOKUP("65",Inputs!$A$29:$K$33,5,FALSE())*(Inputs!$B$25/14)*Inputs!$B$13)+Inputs!$B$18)+(1-C474)*((VLOOKUP("65",Inputs!$A$29:$K$33,9,FALSE())*(Inputs!$B$25/14)*Inputs!$B$5+VLOOKUP("65",Inputs!$A$29:$K$33,10,FALSE())*(Inputs!$B$25/14)*Inputs!$B$12+VLOOKUP("65",Inputs!$A$29:$K$33,11,FALSE())*(Inputs!$B$25/14)*Inputs!$B$13)))</f>
        <v>173.238518493507</v>
      </c>
      <c r="E474" s="25" t="n">
        <f aca="false">0</f>
        <v>0</v>
      </c>
      <c r="F47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75" customFormat="false" ht="15" hidden="false" customHeight="true" outlineLevel="0" collapsed="false">
      <c r="A475" s="23" t="n">
        <v>3</v>
      </c>
      <c r="B475" s="24" t="b">
        <f aca="false">A475&lt;=Inputs!$B$17</f>
        <v>1</v>
      </c>
      <c r="C475" s="25" t="n">
        <f aca="false">C474*(1-Inputs!$B$22)</f>
        <v>0.114264</v>
      </c>
      <c r="D475" s="26" t="n">
        <f aca="false">IF(B475,C475*(VLOOKUP("65",Inputs!$A$29:$K$33,3,FALSE())*(Inputs!$B$25/14)*Inputs!$B$5+VLOOKUP("65",Inputs!$A$29:$K$33,4,FALSE())*(Inputs!$B$25/14)*Inputs!$B$12+VLOOKUP("65",Inputs!$A$29:$K$33,5,FALSE())*(Inputs!$B$25/14)*Inputs!$B$13)+(1-C475)*(VLOOKUP("65",Inputs!$A$29:$K$33,6,FALSE())*(Inputs!$B$25/14)*Inputs!$B$5+VLOOKUP("65",Inputs!$A$29:$K$33,7,FALSE())*(Inputs!$B$25/14)*Inputs!$B$12+VLOOKUP("65",Inputs!$A$29:$K$33,8,FALSE())*(Inputs!$B$25/14)*Inputs!$B$13),C475*((VLOOKUP("65",Inputs!$A$29:$K$33,3,FALSE())*(Inputs!$B$25/14)*Inputs!$B$5+VLOOKUP("65",Inputs!$A$29:$K$33,4,FALSE())*(Inputs!$B$25/14)*Inputs!$B$12+VLOOKUP("65",Inputs!$A$29:$K$33,5,FALSE())*(Inputs!$B$25/14)*Inputs!$B$13)+Inputs!$B$18)+(1-C475)*((VLOOKUP("65",Inputs!$A$29:$K$33,9,FALSE())*(Inputs!$B$25/14)*Inputs!$B$5+VLOOKUP("65",Inputs!$A$29:$K$33,10,FALSE())*(Inputs!$B$25/14)*Inputs!$B$12+VLOOKUP("65",Inputs!$A$29:$K$33,11,FALSE())*(Inputs!$B$25/14)*Inputs!$B$13)))</f>
        <v>179.000974655788</v>
      </c>
      <c r="E475" s="25" t="n">
        <f aca="false">0</f>
        <v>0</v>
      </c>
      <c r="F47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76" customFormat="false" ht="15" hidden="false" customHeight="true" outlineLevel="0" collapsed="false">
      <c r="A476" s="23" t="n">
        <v>4</v>
      </c>
      <c r="B476" s="24" t="b">
        <f aca="false">A476&lt;=Inputs!$B$17</f>
        <v>0</v>
      </c>
      <c r="C476" s="25" t="n">
        <f aca="false">C475*(1-Inputs!$B$22)</f>
        <v>0.07884216</v>
      </c>
      <c r="D476" s="26" t="n">
        <f aca="false">IF(B476,C476*(VLOOKUP("65",Inputs!$A$29:$K$33,3,FALSE())*(Inputs!$B$25/14)*Inputs!$B$5+VLOOKUP("65",Inputs!$A$29:$K$33,4,FALSE())*(Inputs!$B$25/14)*Inputs!$B$12+VLOOKUP("65",Inputs!$A$29:$K$33,5,FALSE())*(Inputs!$B$25/14)*Inputs!$B$13)+(1-C476)*(VLOOKUP("65",Inputs!$A$29:$K$33,6,FALSE())*(Inputs!$B$25/14)*Inputs!$B$5+VLOOKUP("65",Inputs!$A$29:$K$33,7,FALSE())*(Inputs!$B$25/14)*Inputs!$B$12+VLOOKUP("65",Inputs!$A$29:$K$33,8,FALSE())*(Inputs!$B$25/14)*Inputs!$B$13),C476*((VLOOKUP("65",Inputs!$A$29:$K$33,3,FALSE())*(Inputs!$B$25/14)*Inputs!$B$5+VLOOKUP("65",Inputs!$A$29:$K$33,4,FALSE())*(Inputs!$B$25/14)*Inputs!$B$12+VLOOKUP("65",Inputs!$A$29:$K$33,5,FALSE())*(Inputs!$B$25/14)*Inputs!$B$13)+Inputs!$B$18)+(1-C476)*((VLOOKUP("65",Inputs!$A$29:$K$33,9,FALSE())*(Inputs!$B$25/14)*Inputs!$B$5+VLOOKUP("65",Inputs!$A$29:$K$33,10,FALSE())*(Inputs!$B$25/14)*Inputs!$B$12+VLOOKUP("65",Inputs!$A$29:$K$33,11,FALSE())*(Inputs!$B$25/14)*Inputs!$B$13)))</f>
        <v>291.768589872079</v>
      </c>
      <c r="E476" s="25" t="n">
        <f aca="false">0</f>
        <v>0</v>
      </c>
      <c r="F47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77" customFormat="false" ht="15" hidden="false" customHeight="true" outlineLevel="0" collapsed="false">
      <c r="A477" s="23" t="n">
        <v>5</v>
      </c>
      <c r="B477" s="24" t="b">
        <f aca="false">A477&lt;=Inputs!$B$17</f>
        <v>0</v>
      </c>
      <c r="C477" s="25" t="n">
        <f aca="false">C476*(1-Inputs!$B$22)</f>
        <v>0.0544010904</v>
      </c>
      <c r="D477" s="26" t="n">
        <f aca="false">IF(B477,C477*(VLOOKUP("65",Inputs!$A$29:$K$33,3,FALSE())*(Inputs!$B$25/14)*Inputs!$B$5+VLOOKUP("65",Inputs!$A$29:$K$33,4,FALSE())*(Inputs!$B$25/14)*Inputs!$B$12+VLOOKUP("65",Inputs!$A$29:$K$33,5,FALSE())*(Inputs!$B$25/14)*Inputs!$B$13)+(1-C477)*(VLOOKUP("65",Inputs!$A$29:$K$33,6,FALSE())*(Inputs!$B$25/14)*Inputs!$B$5+VLOOKUP("65",Inputs!$A$29:$K$33,7,FALSE())*(Inputs!$B$25/14)*Inputs!$B$12+VLOOKUP("65",Inputs!$A$29:$K$33,8,FALSE())*(Inputs!$B$25/14)*Inputs!$B$13),C477*((VLOOKUP("65",Inputs!$A$29:$K$33,3,FALSE())*(Inputs!$B$25/14)*Inputs!$B$5+VLOOKUP("65",Inputs!$A$29:$K$33,4,FALSE())*(Inputs!$B$25/14)*Inputs!$B$12+VLOOKUP("65",Inputs!$A$29:$K$33,5,FALSE())*(Inputs!$B$25/14)*Inputs!$B$13)+Inputs!$B$18)+(1-C477)*((VLOOKUP("65",Inputs!$A$29:$K$33,9,FALSE())*(Inputs!$B$25/14)*Inputs!$B$5+VLOOKUP("65",Inputs!$A$29:$K$33,10,FALSE())*(Inputs!$B$25/14)*Inputs!$B$12+VLOOKUP("65",Inputs!$A$29:$K$33,11,FALSE())*(Inputs!$B$25/14)*Inputs!$B$13)))</f>
        <v>291.870953558609</v>
      </c>
      <c r="E477" s="25" t="n">
        <f aca="false">0</f>
        <v>0</v>
      </c>
      <c r="F47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78" customFormat="false" ht="15" hidden="false" customHeight="true" outlineLevel="0" collapsed="false">
      <c r="A478" s="23" t="n">
        <v>6</v>
      </c>
      <c r="B478" s="24" t="b">
        <f aca="false">A478&lt;=Inputs!$B$17</f>
        <v>0</v>
      </c>
      <c r="C478" s="25" t="n">
        <f aca="false">C477*(1-Inputs!$B$22)</f>
        <v>0.037536752376</v>
      </c>
      <c r="D478" s="26" t="n">
        <f aca="false">IF(B478,C478*(VLOOKUP("65",Inputs!$A$29:$K$33,3,FALSE())*(Inputs!$B$25/14)*Inputs!$B$5+VLOOKUP("65",Inputs!$A$29:$K$33,4,FALSE())*(Inputs!$B$25/14)*Inputs!$B$12+VLOOKUP("65",Inputs!$A$29:$K$33,5,FALSE())*(Inputs!$B$25/14)*Inputs!$B$13)+(1-C478)*(VLOOKUP("65",Inputs!$A$29:$K$33,6,FALSE())*(Inputs!$B$25/14)*Inputs!$B$5+VLOOKUP("65",Inputs!$A$29:$K$33,7,FALSE())*(Inputs!$B$25/14)*Inputs!$B$12+VLOOKUP("65",Inputs!$A$29:$K$33,8,FALSE())*(Inputs!$B$25/14)*Inputs!$B$13),C478*((VLOOKUP("65",Inputs!$A$29:$K$33,3,FALSE())*(Inputs!$B$25/14)*Inputs!$B$5+VLOOKUP("65",Inputs!$A$29:$K$33,4,FALSE())*(Inputs!$B$25/14)*Inputs!$B$12+VLOOKUP("65",Inputs!$A$29:$K$33,5,FALSE())*(Inputs!$B$25/14)*Inputs!$B$13)+Inputs!$B$18)+(1-C478)*((VLOOKUP("65",Inputs!$A$29:$K$33,9,FALSE())*(Inputs!$B$25/14)*Inputs!$B$5+VLOOKUP("65",Inputs!$A$29:$K$33,10,FALSE())*(Inputs!$B$25/14)*Inputs!$B$12+VLOOKUP("65",Inputs!$A$29:$K$33,11,FALSE())*(Inputs!$B$25/14)*Inputs!$B$13)))</f>
        <v>291.941584502316</v>
      </c>
      <c r="E478" s="25" t="n">
        <f aca="false">0</f>
        <v>0</v>
      </c>
      <c r="F47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79" customFormat="false" ht="15" hidden="false" customHeight="true" outlineLevel="0" collapsed="false">
      <c r="A479" s="23" t="n">
        <v>7</v>
      </c>
      <c r="B479" s="24" t="b">
        <f aca="false">A479&lt;=Inputs!$B$17</f>
        <v>0</v>
      </c>
      <c r="C479" s="25" t="n">
        <f aca="false">C478*(1-Inputs!$B$22)</f>
        <v>0.02590035913944</v>
      </c>
      <c r="D479" s="26" t="n">
        <f aca="false">IF(B479,C479*(VLOOKUP("65",Inputs!$A$29:$K$33,3,FALSE())*(Inputs!$B$25/14)*Inputs!$B$5+VLOOKUP("65",Inputs!$A$29:$K$33,4,FALSE())*(Inputs!$B$25/14)*Inputs!$B$12+VLOOKUP("65",Inputs!$A$29:$K$33,5,FALSE())*(Inputs!$B$25/14)*Inputs!$B$13)+(1-C479)*(VLOOKUP("65",Inputs!$A$29:$K$33,6,FALSE())*(Inputs!$B$25/14)*Inputs!$B$5+VLOOKUP("65",Inputs!$A$29:$K$33,7,FALSE())*(Inputs!$B$25/14)*Inputs!$B$12+VLOOKUP("65",Inputs!$A$29:$K$33,8,FALSE())*(Inputs!$B$25/14)*Inputs!$B$13),C479*((VLOOKUP("65",Inputs!$A$29:$K$33,3,FALSE())*(Inputs!$B$25/14)*Inputs!$B$5+VLOOKUP("65",Inputs!$A$29:$K$33,4,FALSE())*(Inputs!$B$25/14)*Inputs!$B$12+VLOOKUP("65",Inputs!$A$29:$K$33,5,FALSE())*(Inputs!$B$25/14)*Inputs!$B$13)+Inputs!$B$18)+(1-C479)*((VLOOKUP("65",Inputs!$A$29:$K$33,9,FALSE())*(Inputs!$B$25/14)*Inputs!$B$5+VLOOKUP("65",Inputs!$A$29:$K$33,10,FALSE())*(Inputs!$B$25/14)*Inputs!$B$12+VLOOKUP("65",Inputs!$A$29:$K$33,11,FALSE())*(Inputs!$B$25/14)*Inputs!$B$13)))</f>
        <v>291.990319853473</v>
      </c>
      <c r="E479" s="25" t="n">
        <f aca="false">0</f>
        <v>0</v>
      </c>
      <c r="F47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0" customFormat="false" ht="15" hidden="false" customHeight="true" outlineLevel="0" collapsed="false">
      <c r="A480" s="23" t="n">
        <v>8</v>
      </c>
      <c r="B480" s="24" t="b">
        <f aca="false">A480&lt;=Inputs!$B$17</f>
        <v>0</v>
      </c>
      <c r="C480" s="25" t="n">
        <f aca="false">C479*(1-Inputs!$B$22)</f>
        <v>0.0178712478062136</v>
      </c>
      <c r="D480" s="26" t="n">
        <f aca="false">IF(B480,C480*(VLOOKUP("65",Inputs!$A$29:$K$33,3,FALSE())*(Inputs!$B$25/14)*Inputs!$B$5+VLOOKUP("65",Inputs!$A$29:$K$33,4,FALSE())*(Inputs!$B$25/14)*Inputs!$B$12+VLOOKUP("65",Inputs!$A$29:$K$33,5,FALSE())*(Inputs!$B$25/14)*Inputs!$B$13)+(1-C480)*(VLOOKUP("65",Inputs!$A$29:$K$33,6,FALSE())*(Inputs!$B$25/14)*Inputs!$B$5+VLOOKUP("65",Inputs!$A$29:$K$33,7,FALSE())*(Inputs!$B$25/14)*Inputs!$B$12+VLOOKUP("65",Inputs!$A$29:$K$33,8,FALSE())*(Inputs!$B$25/14)*Inputs!$B$13),C480*((VLOOKUP("65",Inputs!$A$29:$K$33,3,FALSE())*(Inputs!$B$25/14)*Inputs!$B$5+VLOOKUP("65",Inputs!$A$29:$K$33,4,FALSE())*(Inputs!$B$25/14)*Inputs!$B$12+VLOOKUP("65",Inputs!$A$29:$K$33,5,FALSE())*(Inputs!$B$25/14)*Inputs!$B$13)+Inputs!$B$18)+(1-C480)*((VLOOKUP("65",Inputs!$A$29:$K$33,9,FALSE())*(Inputs!$B$25/14)*Inputs!$B$5+VLOOKUP("65",Inputs!$A$29:$K$33,10,FALSE())*(Inputs!$B$25/14)*Inputs!$B$12+VLOOKUP("65",Inputs!$A$29:$K$33,11,FALSE())*(Inputs!$B$25/14)*Inputs!$B$13)))</f>
        <v>292.023947245771</v>
      </c>
      <c r="E480" s="25" t="n">
        <f aca="false">0</f>
        <v>0</v>
      </c>
      <c r="F48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1" customFormat="false" ht="15" hidden="false" customHeight="true" outlineLevel="0" collapsed="false">
      <c r="A481" s="23" t="n">
        <v>9</v>
      </c>
      <c r="B481" s="24" t="b">
        <f aca="false">A481&lt;=Inputs!$B$17</f>
        <v>0</v>
      </c>
      <c r="C481" s="25" t="n">
        <f aca="false">C480*(1-Inputs!$B$22)</f>
        <v>0.0123311609862874</v>
      </c>
      <c r="D481" s="26" t="n">
        <f aca="false">IF(B481,C481*(VLOOKUP("65",Inputs!$A$29:$K$33,3,FALSE())*(Inputs!$B$25/14)*Inputs!$B$5+VLOOKUP("65",Inputs!$A$29:$K$33,4,FALSE())*(Inputs!$B$25/14)*Inputs!$B$12+VLOOKUP("65",Inputs!$A$29:$K$33,5,FALSE())*(Inputs!$B$25/14)*Inputs!$B$13)+(1-C481)*(VLOOKUP("65",Inputs!$A$29:$K$33,6,FALSE())*(Inputs!$B$25/14)*Inputs!$B$5+VLOOKUP("65",Inputs!$A$29:$K$33,7,FALSE())*(Inputs!$B$25/14)*Inputs!$B$12+VLOOKUP("65",Inputs!$A$29:$K$33,8,FALSE())*(Inputs!$B$25/14)*Inputs!$B$13),C481*((VLOOKUP("65",Inputs!$A$29:$K$33,3,FALSE())*(Inputs!$B$25/14)*Inputs!$B$5+VLOOKUP("65",Inputs!$A$29:$K$33,4,FALSE())*(Inputs!$B$25/14)*Inputs!$B$12+VLOOKUP("65",Inputs!$A$29:$K$33,5,FALSE())*(Inputs!$B$25/14)*Inputs!$B$13)+Inputs!$B$18)+(1-C481)*((VLOOKUP("65",Inputs!$A$29:$K$33,9,FALSE())*(Inputs!$B$25/14)*Inputs!$B$5+VLOOKUP("65",Inputs!$A$29:$K$33,10,FALSE())*(Inputs!$B$25/14)*Inputs!$B$12+VLOOKUP("65",Inputs!$A$29:$K$33,11,FALSE())*(Inputs!$B$25/14)*Inputs!$B$13)))</f>
        <v>292.047150146457</v>
      </c>
      <c r="E481" s="25" t="n">
        <f aca="false">0</f>
        <v>0</v>
      </c>
      <c r="F48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2" customFormat="false" ht="15" hidden="false" customHeight="true" outlineLevel="0" collapsed="false">
      <c r="A482" s="23" t="n">
        <v>10</v>
      </c>
      <c r="B482" s="24" t="b">
        <f aca="false">A482&lt;=Inputs!$B$17</f>
        <v>0</v>
      </c>
      <c r="C482" s="25" t="n">
        <f aca="false">C481*(1-Inputs!$B$22)</f>
        <v>0.00850850108053829</v>
      </c>
      <c r="D482" s="26" t="n">
        <f aca="false">IF(B482,C482*(VLOOKUP("65",Inputs!$A$29:$K$33,3,FALSE())*(Inputs!$B$25/14)*Inputs!$B$5+VLOOKUP("65",Inputs!$A$29:$K$33,4,FALSE())*(Inputs!$B$25/14)*Inputs!$B$12+VLOOKUP("65",Inputs!$A$29:$K$33,5,FALSE())*(Inputs!$B$25/14)*Inputs!$B$13)+(1-C482)*(VLOOKUP("65",Inputs!$A$29:$K$33,6,FALSE())*(Inputs!$B$25/14)*Inputs!$B$5+VLOOKUP("65",Inputs!$A$29:$K$33,7,FALSE())*(Inputs!$B$25/14)*Inputs!$B$12+VLOOKUP("65",Inputs!$A$29:$K$33,8,FALSE())*(Inputs!$B$25/14)*Inputs!$B$13),C482*((VLOOKUP("65",Inputs!$A$29:$K$33,3,FALSE())*(Inputs!$B$25/14)*Inputs!$B$5+VLOOKUP("65",Inputs!$A$29:$K$33,4,FALSE())*(Inputs!$B$25/14)*Inputs!$B$12+VLOOKUP("65",Inputs!$A$29:$K$33,5,FALSE())*(Inputs!$B$25/14)*Inputs!$B$13)+Inputs!$B$18)+(1-C482)*((VLOOKUP("65",Inputs!$A$29:$K$33,9,FALSE())*(Inputs!$B$25/14)*Inputs!$B$5+VLOOKUP("65",Inputs!$A$29:$K$33,10,FALSE())*(Inputs!$B$25/14)*Inputs!$B$12+VLOOKUP("65",Inputs!$A$29:$K$33,11,FALSE())*(Inputs!$B$25/14)*Inputs!$B$13)))</f>
        <v>292.06316014793</v>
      </c>
      <c r="E482" s="25" t="n">
        <f aca="false">0</f>
        <v>0</v>
      </c>
      <c r="F48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3" customFormat="false" ht="15" hidden="false" customHeight="true" outlineLevel="0" collapsed="false">
      <c r="A483" s="23" t="n">
        <v>11</v>
      </c>
      <c r="B483" s="24" t="b">
        <f aca="false">A483&lt;=Inputs!$B$17</f>
        <v>0</v>
      </c>
      <c r="C483" s="25" t="n">
        <f aca="false">C482*(1-Inputs!$B$22)</f>
        <v>0.00587086574557142</v>
      </c>
      <c r="D483" s="26" t="n">
        <f aca="false">IF(B483,C483*(VLOOKUP("65",Inputs!$A$29:$K$33,3,FALSE())*(Inputs!$B$25/14)*Inputs!$B$5+VLOOKUP("65",Inputs!$A$29:$K$33,4,FALSE())*(Inputs!$B$25/14)*Inputs!$B$12+VLOOKUP("65",Inputs!$A$29:$K$33,5,FALSE())*(Inputs!$B$25/14)*Inputs!$B$13)+(1-C483)*(VLOOKUP("65",Inputs!$A$29:$K$33,6,FALSE())*(Inputs!$B$25/14)*Inputs!$B$5+VLOOKUP("65",Inputs!$A$29:$K$33,7,FALSE())*(Inputs!$B$25/14)*Inputs!$B$12+VLOOKUP("65",Inputs!$A$29:$K$33,8,FALSE())*(Inputs!$B$25/14)*Inputs!$B$13),C483*((VLOOKUP("65",Inputs!$A$29:$K$33,3,FALSE())*(Inputs!$B$25/14)*Inputs!$B$5+VLOOKUP("65",Inputs!$A$29:$K$33,4,FALSE())*(Inputs!$B$25/14)*Inputs!$B$12+VLOOKUP("65",Inputs!$A$29:$K$33,5,FALSE())*(Inputs!$B$25/14)*Inputs!$B$13)+Inputs!$B$18)+(1-C483)*((VLOOKUP("65",Inputs!$A$29:$K$33,9,FALSE())*(Inputs!$B$25/14)*Inputs!$B$5+VLOOKUP("65",Inputs!$A$29:$K$33,10,FALSE())*(Inputs!$B$25/14)*Inputs!$B$12+VLOOKUP("65",Inputs!$A$29:$K$33,11,FALSE())*(Inputs!$B$25/14)*Inputs!$B$13)))</f>
        <v>292.074207048947</v>
      </c>
      <c r="E483" s="25" t="n">
        <f aca="false">0</f>
        <v>0</v>
      </c>
      <c r="F48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4" customFormat="false" ht="15" hidden="false" customHeight="true" outlineLevel="0" collapsed="false">
      <c r="A484" s="23" t="n">
        <v>12</v>
      </c>
      <c r="B484" s="24" t="b">
        <f aca="false">A484&lt;=Inputs!$B$17</f>
        <v>0</v>
      </c>
      <c r="C484" s="25" t="n">
        <f aca="false">C483*(1-Inputs!$B$22)</f>
        <v>0.00405089736444428</v>
      </c>
      <c r="D484" s="26" t="n">
        <f aca="false">IF(B484,C484*(VLOOKUP("65",Inputs!$A$29:$K$33,3,FALSE())*(Inputs!$B$25/14)*Inputs!$B$5+VLOOKUP("65",Inputs!$A$29:$K$33,4,FALSE())*(Inputs!$B$25/14)*Inputs!$B$12+VLOOKUP("65",Inputs!$A$29:$K$33,5,FALSE())*(Inputs!$B$25/14)*Inputs!$B$13)+(1-C484)*(VLOOKUP("65",Inputs!$A$29:$K$33,6,FALSE())*(Inputs!$B$25/14)*Inputs!$B$5+VLOOKUP("65",Inputs!$A$29:$K$33,7,FALSE())*(Inputs!$B$25/14)*Inputs!$B$12+VLOOKUP("65",Inputs!$A$29:$K$33,8,FALSE())*(Inputs!$B$25/14)*Inputs!$B$13),C484*((VLOOKUP("65",Inputs!$A$29:$K$33,3,FALSE())*(Inputs!$B$25/14)*Inputs!$B$5+VLOOKUP("65",Inputs!$A$29:$K$33,4,FALSE())*(Inputs!$B$25/14)*Inputs!$B$12+VLOOKUP("65",Inputs!$A$29:$K$33,5,FALSE())*(Inputs!$B$25/14)*Inputs!$B$13)+Inputs!$B$18)+(1-C484)*((VLOOKUP("65",Inputs!$A$29:$K$33,9,FALSE())*(Inputs!$B$25/14)*Inputs!$B$5+VLOOKUP("65",Inputs!$A$29:$K$33,10,FALSE())*(Inputs!$B$25/14)*Inputs!$B$12+VLOOKUP("65",Inputs!$A$29:$K$33,11,FALSE())*(Inputs!$B$25/14)*Inputs!$B$13)))</f>
        <v>292.081829410648</v>
      </c>
      <c r="E484" s="25" t="n">
        <f aca="false">0</f>
        <v>0</v>
      </c>
      <c r="F48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85" customFormat="false" ht="15" hidden="false" customHeight="true" outlineLevel="0" collapsed="false">
      <c r="A485" s="27" t="s">
        <v>125</v>
      </c>
      <c r="D485" s="28" t="n">
        <f aca="false">SUM(D473:D484)</f>
        <v>3144.9883676866</v>
      </c>
      <c r="F485" s="28" t="n">
        <f aca="false">SUM(F473:F484)</f>
        <v>3910.56563346297</v>
      </c>
    </row>
    <row r="487" customFormat="false" ht="15" hidden="false" customHeight="true" outlineLevel="0" collapsed="false">
      <c r="A487" s="27" t="s">
        <v>177</v>
      </c>
    </row>
    <row r="488" customFormat="false" ht="21.75" hidden="false" customHeight="true" outlineLevel="0" collapsed="false">
      <c r="A488" s="43" t="s">
        <v>92</v>
      </c>
      <c r="B488" s="43" t="s">
        <v>145</v>
      </c>
      <c r="C488" s="43" t="s">
        <v>146</v>
      </c>
      <c r="D488" s="43" t="s">
        <v>147</v>
      </c>
      <c r="E488" s="43" t="s">
        <v>148</v>
      </c>
      <c r="F488" s="43" t="s">
        <v>149</v>
      </c>
    </row>
    <row r="489" customFormat="false" ht="15" hidden="false" customHeight="true" outlineLevel="0" collapsed="false">
      <c r="A489" s="23" t="n">
        <v>1</v>
      </c>
      <c r="B489" s="24" t="b">
        <f aca="false">A489&lt;=Inputs!$B$17</f>
        <v>1</v>
      </c>
      <c r="C489" s="25" t="n">
        <f aca="false">VLOOKUP("65",Inputs!$A$29:$K$33,2,FALSE())</f>
        <v>0.24</v>
      </c>
      <c r="D489" s="26" t="n">
        <f aca="false">IF(B489,C489*(VLOOKUP("65",Inputs!$A$29:$K$33,3,FALSE())*(Inputs!$B$25/14)*Inputs!$B$5+VLOOKUP("65",Inputs!$A$29:$K$33,4,FALSE())*(Inputs!$B$25/14)*Inputs!$B$12+VLOOKUP("65",Inputs!$A$29:$K$33,5,FALSE())*(Inputs!$B$25/14)*Inputs!$B$13)+(1-C489)*(VLOOKUP("65",Inputs!$A$29:$K$33,6,FALSE())*(Inputs!$B$25/14)*Inputs!$B$5+VLOOKUP("65",Inputs!$A$29:$K$33,7,FALSE())*(Inputs!$B$25/14)*Inputs!$B$12+VLOOKUP("65",Inputs!$A$29:$K$33,8,FALSE())*(Inputs!$B$25/14)*Inputs!$B$13),C489*((VLOOKUP("65",Inputs!$A$29:$K$33,3,FALSE())*(Inputs!$B$25/14)*Inputs!$B$5+VLOOKUP("65",Inputs!$A$29:$K$33,4,FALSE())*(Inputs!$B$25/14)*Inputs!$B$12+VLOOKUP("65",Inputs!$A$29:$K$33,5,FALSE())*(Inputs!$B$25/14)*Inputs!$B$13)+Inputs!$B$18)+(1-C489)*((INDEX(Inputs!$A$37:$C$37,1,1)*(Inputs!$B$25/14)*Inputs!$B$5+INDEX(Inputs!$A$37:$C$37,1,2)*(Inputs!$B$25/14)*Inputs!$B$12+INDEX(Inputs!$A$37:$C$37,1,3)*(Inputs!$B$25/14)*Inputs!$B$13)))</f>
        <v>164.887132751071</v>
      </c>
      <c r="E489" s="25" t="n">
        <f aca="false">Inputs!$B$21</f>
        <v>0.083</v>
      </c>
      <c r="F489" s="26" t="n">
        <f aca="false">E489*(VLOOKUP("65",Inputs!$A$29:$K$33,3,FALSE())*(Inputs!$B$25/14)*Inputs!$B$5+VLOOKUP("65",Inputs!$A$29:$K$33,4,FALSE())*(Inputs!$B$25/14)*Inputs!$B$12+VLOOKUP("65",Inputs!$A$29:$K$33,5,FALSE())*(Inputs!$B$25/14)*Inputs!$B$13)+(1-E489)*(INDEX(Inputs!$A$37:$C$37,1,1)*(Inputs!$B$25/14)*Inputs!$B$5+INDEX(Inputs!$A$37:$C$37,1,2)*(Inputs!$B$25/14)*Inputs!$B$12+INDEX(Inputs!$A$37:$C$37,1,3)*(Inputs!$B$25/14)*Inputs!$B$13)</f>
        <v>307.010383574576</v>
      </c>
    </row>
    <row r="490" customFormat="false" ht="15" hidden="false" customHeight="true" outlineLevel="0" collapsed="false">
      <c r="A490" s="23" t="n">
        <v>2</v>
      </c>
      <c r="B490" s="24" t="b">
        <f aca="false">A490&lt;=Inputs!$B$17</f>
        <v>1</v>
      </c>
      <c r="C490" s="25" t="n">
        <f aca="false">C489*(1-Inputs!$B$22*(0.9^(A490-2)))</f>
        <v>0.1656</v>
      </c>
      <c r="D490" s="26" t="n">
        <f aca="false">IF(B490,C490*(VLOOKUP("65",Inputs!$A$29:$K$33,3,FALSE())*(Inputs!$B$25/14)*Inputs!$B$5+VLOOKUP("65",Inputs!$A$29:$K$33,4,FALSE())*(Inputs!$B$25/14)*Inputs!$B$12+VLOOKUP("65",Inputs!$A$29:$K$33,5,FALSE())*(Inputs!$B$25/14)*Inputs!$B$13)+(1-C490)*(VLOOKUP("65",Inputs!$A$29:$K$33,6,FALSE())*(Inputs!$B$25/14)*Inputs!$B$5+VLOOKUP("65",Inputs!$A$29:$K$33,7,FALSE())*(Inputs!$B$25/14)*Inputs!$B$12+VLOOKUP("65",Inputs!$A$29:$K$33,8,FALSE())*(Inputs!$B$25/14)*Inputs!$B$13),C490*((VLOOKUP("65",Inputs!$A$29:$K$33,3,FALSE())*(Inputs!$B$25/14)*Inputs!$B$5+VLOOKUP("65",Inputs!$A$29:$K$33,4,FALSE())*(Inputs!$B$25/14)*Inputs!$B$12+VLOOKUP("65",Inputs!$A$29:$K$33,5,FALSE())*(Inputs!$B$25/14)*Inputs!$B$13)+Inputs!$B$18)+(1-C490)*((INDEX(Inputs!$A$37:$C$37,1,1)*(Inputs!$B$25/14)*Inputs!$B$5+INDEX(Inputs!$A$37:$C$37,1,2)*(Inputs!$B$25/14)*Inputs!$B$12+INDEX(Inputs!$A$37:$C$37,1,3)*(Inputs!$B$25/14)*Inputs!$B$13)))</f>
        <v>173.238518493507</v>
      </c>
      <c r="E490" s="25" t="n">
        <f aca="false">0</f>
        <v>0</v>
      </c>
      <c r="F49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1" customFormat="false" ht="15" hidden="false" customHeight="true" outlineLevel="0" collapsed="false">
      <c r="A491" s="23" t="n">
        <v>3</v>
      </c>
      <c r="B491" s="24" t="b">
        <f aca="false">A491&lt;=Inputs!$B$17</f>
        <v>1</v>
      </c>
      <c r="C491" s="25" t="n">
        <f aca="false">C490*(1-Inputs!$B$22*(0.9^(A491-2)))</f>
        <v>0.1193976</v>
      </c>
      <c r="D491" s="26" t="n">
        <f aca="false">IF(B491,C491*(VLOOKUP("65",Inputs!$A$29:$K$33,3,FALSE())*(Inputs!$B$25/14)*Inputs!$B$5+VLOOKUP("65",Inputs!$A$29:$K$33,4,FALSE())*(Inputs!$B$25/14)*Inputs!$B$12+VLOOKUP("65",Inputs!$A$29:$K$33,5,FALSE())*(Inputs!$B$25/14)*Inputs!$B$13)+(1-C491)*(VLOOKUP("65",Inputs!$A$29:$K$33,6,FALSE())*(Inputs!$B$25/14)*Inputs!$B$5+VLOOKUP("65",Inputs!$A$29:$K$33,7,FALSE())*(Inputs!$B$25/14)*Inputs!$B$12+VLOOKUP("65",Inputs!$A$29:$K$33,8,FALSE())*(Inputs!$B$25/14)*Inputs!$B$13),C491*((VLOOKUP("65",Inputs!$A$29:$K$33,3,FALSE())*(Inputs!$B$25/14)*Inputs!$B$5+VLOOKUP("65",Inputs!$A$29:$K$33,4,FALSE())*(Inputs!$B$25/14)*Inputs!$B$12+VLOOKUP("65",Inputs!$A$29:$K$33,5,FALSE())*(Inputs!$B$25/14)*Inputs!$B$13)+Inputs!$B$18)+(1-C491)*((INDEX(Inputs!$A$37:$C$37,1,1)*(Inputs!$B$25/14)*Inputs!$B$5+INDEX(Inputs!$A$37:$C$37,1,2)*(Inputs!$B$25/14)*Inputs!$B$12+INDEX(Inputs!$A$37:$C$37,1,3)*(Inputs!$B$25/14)*Inputs!$B$13)))</f>
        <v>178.42472903956</v>
      </c>
      <c r="E491" s="25" t="n">
        <f aca="false">0</f>
        <v>0</v>
      </c>
      <c r="F49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2" customFormat="false" ht="15" hidden="false" customHeight="true" outlineLevel="0" collapsed="false">
      <c r="A492" s="23" t="n">
        <v>4</v>
      </c>
      <c r="B492" s="24" t="b">
        <f aca="false">A492&lt;=Inputs!$B$17</f>
        <v>0</v>
      </c>
      <c r="C492" s="25" t="n">
        <f aca="false">C491*(1-Inputs!$B$22*(0.9^(A492-2)))</f>
        <v>0.08941686264</v>
      </c>
      <c r="D492" s="26" t="n">
        <f aca="false">IF(B492,C492*(VLOOKUP("65",Inputs!$A$29:$K$33,3,FALSE())*(Inputs!$B$25/14)*Inputs!$B$5+VLOOKUP("65",Inputs!$A$29:$K$33,4,FALSE())*(Inputs!$B$25/14)*Inputs!$B$12+VLOOKUP("65",Inputs!$A$29:$K$33,5,FALSE())*(Inputs!$B$25/14)*Inputs!$B$13)+(1-C492)*(VLOOKUP("65",Inputs!$A$29:$K$33,6,FALSE())*(Inputs!$B$25/14)*Inputs!$B$5+VLOOKUP("65",Inputs!$A$29:$K$33,7,FALSE())*(Inputs!$B$25/14)*Inputs!$B$12+VLOOKUP("65",Inputs!$A$29:$K$33,8,FALSE())*(Inputs!$B$25/14)*Inputs!$B$13),C492*((VLOOKUP("65",Inputs!$A$29:$K$33,3,FALSE())*(Inputs!$B$25/14)*Inputs!$B$5+VLOOKUP("65",Inputs!$A$29:$K$33,4,FALSE())*(Inputs!$B$25/14)*Inputs!$B$12+VLOOKUP("65",Inputs!$A$29:$K$33,5,FALSE())*(Inputs!$B$25/14)*Inputs!$B$13)+Inputs!$B$18)+(1-C492)*((INDEX(Inputs!$A$37:$C$37,1,1)*(Inputs!$B$25/14)*Inputs!$B$5+INDEX(Inputs!$A$37:$C$37,1,2)*(Inputs!$B$25/14)*Inputs!$B$12+INDEX(Inputs!$A$37:$C$37,1,3)*(Inputs!$B$25/14)*Inputs!$B$13)))</f>
        <v>324.047394993453</v>
      </c>
      <c r="E492" s="25" t="n">
        <f aca="false">0</f>
        <v>0</v>
      </c>
      <c r="F49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3" customFormat="false" ht="15" hidden="false" customHeight="true" outlineLevel="0" collapsed="false">
      <c r="A493" s="23" t="n">
        <v>5</v>
      </c>
      <c r="B493" s="24" t="b">
        <f aca="false">A493&lt;=Inputs!$B$17</f>
        <v>0</v>
      </c>
      <c r="C493" s="25" t="n">
        <f aca="false">C492*(1-Inputs!$B$22*(0.9^(A493-2)))</f>
        <v>0.0692095458519864</v>
      </c>
      <c r="D493" s="26" t="n">
        <f aca="false">IF(B493,C493*(VLOOKUP("65",Inputs!$A$29:$K$33,3,FALSE())*(Inputs!$B$25/14)*Inputs!$B$5+VLOOKUP("65",Inputs!$A$29:$K$33,4,FALSE())*(Inputs!$B$25/14)*Inputs!$B$12+VLOOKUP("65",Inputs!$A$29:$K$33,5,FALSE())*(Inputs!$B$25/14)*Inputs!$B$13)+(1-C493)*(VLOOKUP("65",Inputs!$A$29:$K$33,6,FALSE())*(Inputs!$B$25/14)*Inputs!$B$5+VLOOKUP("65",Inputs!$A$29:$K$33,7,FALSE())*(Inputs!$B$25/14)*Inputs!$B$12+VLOOKUP("65",Inputs!$A$29:$K$33,8,FALSE())*(Inputs!$B$25/14)*Inputs!$B$13),C493*((VLOOKUP("65",Inputs!$A$29:$K$33,3,FALSE())*(Inputs!$B$25/14)*Inputs!$B$5+VLOOKUP("65",Inputs!$A$29:$K$33,4,FALSE())*(Inputs!$B$25/14)*Inputs!$B$12+VLOOKUP("65",Inputs!$A$29:$K$33,5,FALSE())*(Inputs!$B$25/14)*Inputs!$B$13)+Inputs!$B$18)+(1-C493)*((INDEX(Inputs!$A$37:$C$37,1,1)*(Inputs!$B$25/14)*Inputs!$B$5+INDEX(Inputs!$A$37:$C$37,1,2)*(Inputs!$B$25/14)*Inputs!$B$12+INDEX(Inputs!$A$37:$C$37,1,3)*(Inputs!$B$25/14)*Inputs!$B$13)))</f>
        <v>324.84932882818</v>
      </c>
      <c r="E493" s="25" t="n">
        <f aca="false">0</f>
        <v>0</v>
      </c>
      <c r="F49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4" customFormat="false" ht="15" hidden="false" customHeight="true" outlineLevel="0" collapsed="false">
      <c r="A494" s="23" t="n">
        <v>6</v>
      </c>
      <c r="B494" s="24" t="b">
        <f aca="false">A494&lt;=Inputs!$B$17</f>
        <v>0</v>
      </c>
      <c r="C494" s="25" t="n">
        <f aca="false">C493*(1-Inputs!$B$22*(0.9^(A494-2)))</f>
        <v>0.055132947111605</v>
      </c>
      <c r="D494" s="26" t="n">
        <f aca="false">IF(B494,C494*(VLOOKUP("65",Inputs!$A$29:$K$33,3,FALSE())*(Inputs!$B$25/14)*Inputs!$B$5+VLOOKUP("65",Inputs!$A$29:$K$33,4,FALSE())*(Inputs!$B$25/14)*Inputs!$B$12+VLOOKUP("65",Inputs!$A$29:$K$33,5,FALSE())*(Inputs!$B$25/14)*Inputs!$B$13)+(1-C494)*(VLOOKUP("65",Inputs!$A$29:$K$33,6,FALSE())*(Inputs!$B$25/14)*Inputs!$B$5+VLOOKUP("65",Inputs!$A$29:$K$33,7,FALSE())*(Inputs!$B$25/14)*Inputs!$B$12+VLOOKUP("65",Inputs!$A$29:$K$33,8,FALSE())*(Inputs!$B$25/14)*Inputs!$B$13),C494*((VLOOKUP("65",Inputs!$A$29:$K$33,3,FALSE())*(Inputs!$B$25/14)*Inputs!$B$5+VLOOKUP("65",Inputs!$A$29:$K$33,4,FALSE())*(Inputs!$B$25/14)*Inputs!$B$12+VLOOKUP("65",Inputs!$A$29:$K$33,5,FALSE())*(Inputs!$B$25/14)*Inputs!$B$13)+Inputs!$B$18)+(1-C494)*((INDEX(Inputs!$A$37:$C$37,1,1)*(Inputs!$B$25/14)*Inputs!$B$5+INDEX(Inputs!$A$37:$C$37,1,2)*(Inputs!$B$25/14)*Inputs!$B$12+INDEX(Inputs!$A$37:$C$37,1,3)*(Inputs!$B$25/14)*Inputs!$B$13)))</f>
        <v>325.407963154856</v>
      </c>
      <c r="E494" s="25" t="n">
        <f aca="false">0</f>
        <v>0</v>
      </c>
      <c r="F49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5" customFormat="false" ht="15" hidden="false" customHeight="true" outlineLevel="0" collapsed="false">
      <c r="A495" s="23" t="n">
        <v>7</v>
      </c>
      <c r="B495" s="24" t="b">
        <f aca="false">A495&lt;=Inputs!$B$17</f>
        <v>0</v>
      </c>
      <c r="C495" s="25" t="n">
        <f aca="false">C494*(1-Inputs!$B$22*(0.9^(A495-2)))</f>
        <v>0.0450407563902262</v>
      </c>
      <c r="D495" s="26" t="n">
        <f aca="false">IF(B495,C495*(VLOOKUP("65",Inputs!$A$29:$K$33,3,FALSE())*(Inputs!$B$25/14)*Inputs!$B$5+VLOOKUP("65",Inputs!$A$29:$K$33,4,FALSE())*(Inputs!$B$25/14)*Inputs!$B$12+VLOOKUP("65",Inputs!$A$29:$K$33,5,FALSE())*(Inputs!$B$25/14)*Inputs!$B$13)+(1-C495)*(VLOOKUP("65",Inputs!$A$29:$K$33,6,FALSE())*(Inputs!$B$25/14)*Inputs!$B$5+VLOOKUP("65",Inputs!$A$29:$K$33,7,FALSE())*(Inputs!$B$25/14)*Inputs!$B$12+VLOOKUP("65",Inputs!$A$29:$K$33,8,FALSE())*(Inputs!$B$25/14)*Inputs!$B$13),C495*((VLOOKUP("65",Inputs!$A$29:$K$33,3,FALSE())*(Inputs!$B$25/14)*Inputs!$B$5+VLOOKUP("65",Inputs!$A$29:$K$33,4,FALSE())*(Inputs!$B$25/14)*Inputs!$B$12+VLOOKUP("65",Inputs!$A$29:$K$33,5,FALSE())*(Inputs!$B$25/14)*Inputs!$B$13)+Inputs!$B$18)+(1-C495)*((INDEX(Inputs!$A$37:$C$37,1,1)*(Inputs!$B$25/14)*Inputs!$B$5+INDEX(Inputs!$A$37:$C$37,1,2)*(Inputs!$B$25/14)*Inputs!$B$12+INDEX(Inputs!$A$37:$C$37,1,3)*(Inputs!$B$25/14)*Inputs!$B$13)))</f>
        <v>325.808474973961</v>
      </c>
      <c r="E495" s="25" t="n">
        <f aca="false">0</f>
        <v>0</v>
      </c>
      <c r="F49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6" customFormat="false" ht="15" hidden="false" customHeight="true" outlineLevel="0" collapsed="false">
      <c r="A496" s="23" t="n">
        <v>8</v>
      </c>
      <c r="B496" s="24" t="b">
        <f aca="false">A496&lt;=Inputs!$B$17</f>
        <v>0</v>
      </c>
      <c r="C496" s="25" t="n">
        <f aca="false">C495*(1-Inputs!$B$22*(0.9^(A496-2)))</f>
        <v>0.037620439959025</v>
      </c>
      <c r="D496" s="26" t="n">
        <f aca="false">IF(B496,C496*(VLOOKUP("65",Inputs!$A$29:$K$33,3,FALSE())*(Inputs!$B$25/14)*Inputs!$B$5+VLOOKUP("65",Inputs!$A$29:$K$33,4,FALSE())*(Inputs!$B$25/14)*Inputs!$B$12+VLOOKUP("65",Inputs!$A$29:$K$33,5,FALSE())*(Inputs!$B$25/14)*Inputs!$B$13)+(1-C496)*(VLOOKUP("65",Inputs!$A$29:$K$33,6,FALSE())*(Inputs!$B$25/14)*Inputs!$B$5+VLOOKUP("65",Inputs!$A$29:$K$33,7,FALSE())*(Inputs!$B$25/14)*Inputs!$B$12+VLOOKUP("65",Inputs!$A$29:$K$33,8,FALSE())*(Inputs!$B$25/14)*Inputs!$B$13),C496*((VLOOKUP("65",Inputs!$A$29:$K$33,3,FALSE())*(Inputs!$B$25/14)*Inputs!$B$5+VLOOKUP("65",Inputs!$A$29:$K$33,4,FALSE())*(Inputs!$B$25/14)*Inputs!$B$12+VLOOKUP("65",Inputs!$A$29:$K$33,5,FALSE())*(Inputs!$B$25/14)*Inputs!$B$13)+Inputs!$B$18)+(1-C496)*((INDEX(Inputs!$A$37:$C$37,1,1)*(Inputs!$B$25/14)*Inputs!$B$5+INDEX(Inputs!$A$37:$C$37,1,2)*(Inputs!$B$25/14)*Inputs!$B$12+INDEX(Inputs!$A$37:$C$37,1,3)*(Inputs!$B$25/14)*Inputs!$B$13)))</f>
        <v>326.102952606642</v>
      </c>
      <c r="E496" s="25" t="n">
        <f aca="false">0</f>
        <v>0</v>
      </c>
      <c r="F49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7" customFormat="false" ht="15" hidden="false" customHeight="true" outlineLevel="0" collapsed="false">
      <c r="A497" s="23" t="n">
        <v>9</v>
      </c>
      <c r="B497" s="24" t="b">
        <f aca="false">A497&lt;=Inputs!$B$17</f>
        <v>0</v>
      </c>
      <c r="C497" s="25" t="n">
        <f aca="false">C496*(1-Inputs!$B$22*(0.9^(A497-2)))</f>
        <v>0.0320423806182233</v>
      </c>
      <c r="D497" s="26" t="n">
        <f aca="false">IF(B497,C497*(VLOOKUP("65",Inputs!$A$29:$K$33,3,FALSE())*(Inputs!$B$25/14)*Inputs!$B$5+VLOOKUP("65",Inputs!$A$29:$K$33,4,FALSE())*(Inputs!$B$25/14)*Inputs!$B$12+VLOOKUP("65",Inputs!$A$29:$K$33,5,FALSE())*(Inputs!$B$25/14)*Inputs!$B$13)+(1-C497)*(VLOOKUP("65",Inputs!$A$29:$K$33,6,FALSE())*(Inputs!$B$25/14)*Inputs!$B$5+VLOOKUP("65",Inputs!$A$29:$K$33,7,FALSE())*(Inputs!$B$25/14)*Inputs!$B$12+VLOOKUP("65",Inputs!$A$29:$K$33,8,FALSE())*(Inputs!$B$25/14)*Inputs!$B$13),C497*((VLOOKUP("65",Inputs!$A$29:$K$33,3,FALSE())*(Inputs!$B$25/14)*Inputs!$B$5+VLOOKUP("65",Inputs!$A$29:$K$33,4,FALSE())*(Inputs!$B$25/14)*Inputs!$B$12+VLOOKUP("65",Inputs!$A$29:$K$33,5,FALSE())*(Inputs!$B$25/14)*Inputs!$B$13)+Inputs!$B$18)+(1-C497)*((INDEX(Inputs!$A$37:$C$37,1,1)*(Inputs!$B$25/14)*Inputs!$B$5+INDEX(Inputs!$A$37:$C$37,1,2)*(Inputs!$B$25/14)*Inputs!$B$12+INDEX(Inputs!$A$37:$C$37,1,3)*(Inputs!$B$25/14)*Inputs!$B$13)))</f>
        <v>326.324319677017</v>
      </c>
      <c r="E497" s="25" t="n">
        <f aca="false">0</f>
        <v>0</v>
      </c>
      <c r="F49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8" customFormat="false" ht="15" hidden="false" customHeight="true" outlineLevel="0" collapsed="false">
      <c r="A498" s="23" t="n">
        <v>10</v>
      </c>
      <c r="B498" s="24" t="b">
        <f aca="false">A498&lt;=Inputs!$B$17</f>
        <v>0</v>
      </c>
      <c r="C498" s="25" t="n">
        <f aca="false">C497*(1-Inputs!$B$22*(0.9^(A498-2)))</f>
        <v>0.027766490420413</v>
      </c>
      <c r="D498" s="26" t="n">
        <f aca="false">IF(B498,C498*(VLOOKUP("65",Inputs!$A$29:$K$33,3,FALSE())*(Inputs!$B$25/14)*Inputs!$B$5+VLOOKUP("65",Inputs!$A$29:$K$33,4,FALSE())*(Inputs!$B$25/14)*Inputs!$B$12+VLOOKUP("65",Inputs!$A$29:$K$33,5,FALSE())*(Inputs!$B$25/14)*Inputs!$B$13)+(1-C498)*(VLOOKUP("65",Inputs!$A$29:$K$33,6,FALSE())*(Inputs!$B$25/14)*Inputs!$B$5+VLOOKUP("65",Inputs!$A$29:$K$33,7,FALSE())*(Inputs!$B$25/14)*Inputs!$B$12+VLOOKUP("65",Inputs!$A$29:$K$33,8,FALSE())*(Inputs!$B$25/14)*Inputs!$B$13),C498*((VLOOKUP("65",Inputs!$A$29:$K$33,3,FALSE())*(Inputs!$B$25/14)*Inputs!$B$5+VLOOKUP("65",Inputs!$A$29:$K$33,4,FALSE())*(Inputs!$B$25/14)*Inputs!$B$12+VLOOKUP("65",Inputs!$A$29:$K$33,5,FALSE())*(Inputs!$B$25/14)*Inputs!$B$13)+Inputs!$B$18)+(1-C498)*((INDEX(Inputs!$A$37:$C$37,1,1)*(Inputs!$B$25/14)*Inputs!$B$5+INDEX(Inputs!$A$37:$C$37,1,2)*(Inputs!$B$25/14)*Inputs!$B$12+INDEX(Inputs!$A$37:$C$37,1,3)*(Inputs!$B$25/14)*Inputs!$B$13)))</f>
        <v>326.494009748152</v>
      </c>
      <c r="E498" s="25" t="n">
        <f aca="false">0</f>
        <v>0</v>
      </c>
      <c r="F49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499" customFormat="false" ht="15" hidden="false" customHeight="true" outlineLevel="0" collapsed="false">
      <c r="A499" s="23" t="n">
        <v>11</v>
      </c>
      <c r="B499" s="24" t="b">
        <f aca="false">A499&lt;=Inputs!$B$17</f>
        <v>0</v>
      </c>
      <c r="C499" s="25" t="n">
        <f aca="false">C498*(1-Inputs!$B$22*(0.9^(A499-2)))</f>
        <v>0.024431725158501</v>
      </c>
      <c r="D499" s="26" t="n">
        <f aca="false">IF(B499,C499*(VLOOKUP("65",Inputs!$A$29:$K$33,3,FALSE())*(Inputs!$B$25/14)*Inputs!$B$5+VLOOKUP("65",Inputs!$A$29:$K$33,4,FALSE())*(Inputs!$B$25/14)*Inputs!$B$12+VLOOKUP("65",Inputs!$A$29:$K$33,5,FALSE())*(Inputs!$B$25/14)*Inputs!$B$13)+(1-C499)*(VLOOKUP("65",Inputs!$A$29:$K$33,6,FALSE())*(Inputs!$B$25/14)*Inputs!$B$5+VLOOKUP("65",Inputs!$A$29:$K$33,7,FALSE())*(Inputs!$B$25/14)*Inputs!$B$12+VLOOKUP("65",Inputs!$A$29:$K$33,8,FALSE())*(Inputs!$B$25/14)*Inputs!$B$13),C499*((VLOOKUP("65",Inputs!$A$29:$K$33,3,FALSE())*(Inputs!$B$25/14)*Inputs!$B$5+VLOOKUP("65",Inputs!$A$29:$K$33,4,FALSE())*(Inputs!$B$25/14)*Inputs!$B$12+VLOOKUP("65",Inputs!$A$29:$K$33,5,FALSE())*(Inputs!$B$25/14)*Inputs!$B$13)+Inputs!$B$18)+(1-C499)*((INDEX(Inputs!$A$37:$C$37,1,1)*(Inputs!$B$25/14)*Inputs!$B$5+INDEX(Inputs!$A$37:$C$37,1,2)*(Inputs!$B$25/14)*Inputs!$B$12+INDEX(Inputs!$A$37:$C$37,1,3)*(Inputs!$B$25/14)*Inputs!$B$13)))</f>
        <v>326.626350974969</v>
      </c>
      <c r="E499" s="25" t="n">
        <f aca="false">0</f>
        <v>0</v>
      </c>
      <c r="F49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00" customFormat="false" ht="15" hidden="false" customHeight="true" outlineLevel="0" collapsed="false">
      <c r="A500" s="23" t="n">
        <v>12</v>
      </c>
      <c r="B500" s="24" t="b">
        <f aca="false">A500&lt;=Inputs!$B$17</f>
        <v>0</v>
      </c>
      <c r="C500" s="25" t="n">
        <f aca="false">C499*(1-Inputs!$B$22*(0.9^(A500-2)))</f>
        <v>0.0217908922551634</v>
      </c>
      <c r="D500" s="26" t="n">
        <f aca="false">IF(B500,C500*(VLOOKUP("65",Inputs!$A$29:$K$33,3,FALSE())*(Inputs!$B$25/14)*Inputs!$B$5+VLOOKUP("65",Inputs!$A$29:$K$33,4,FALSE())*(Inputs!$B$25/14)*Inputs!$B$12+VLOOKUP("65",Inputs!$A$29:$K$33,5,FALSE())*(Inputs!$B$25/14)*Inputs!$B$13)+(1-C500)*(VLOOKUP("65",Inputs!$A$29:$K$33,6,FALSE())*(Inputs!$B$25/14)*Inputs!$B$5+VLOOKUP("65",Inputs!$A$29:$K$33,7,FALSE())*(Inputs!$B$25/14)*Inputs!$B$12+VLOOKUP("65",Inputs!$A$29:$K$33,8,FALSE())*(Inputs!$B$25/14)*Inputs!$B$13),C500*((VLOOKUP("65",Inputs!$A$29:$K$33,3,FALSE())*(Inputs!$B$25/14)*Inputs!$B$5+VLOOKUP("65",Inputs!$A$29:$K$33,4,FALSE())*(Inputs!$B$25/14)*Inputs!$B$12+VLOOKUP("65",Inputs!$A$29:$K$33,5,FALSE())*(Inputs!$B$25/14)*Inputs!$B$13)+Inputs!$B$18)+(1-C500)*((INDEX(Inputs!$A$37:$C$37,1,1)*(Inputs!$B$25/14)*Inputs!$B$5+INDEX(Inputs!$A$37:$C$37,1,2)*(Inputs!$B$25/14)*Inputs!$B$12+INDEX(Inputs!$A$37:$C$37,1,3)*(Inputs!$B$25/14)*Inputs!$B$13)))</f>
        <v>326.731153274021</v>
      </c>
      <c r="E500" s="25" t="n">
        <f aca="false">0</f>
        <v>0</v>
      </c>
      <c r="F50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01" customFormat="false" ht="15" hidden="false" customHeight="true" outlineLevel="0" collapsed="false">
      <c r="A501" s="27" t="s">
        <v>125</v>
      </c>
      <c r="D501" s="28" t="n">
        <f aca="false">SUM(D489:D500)</f>
        <v>3448.94232851539</v>
      </c>
      <c r="F501" s="28" t="n">
        <f aca="false">SUM(F489:F500)</f>
        <v>3910.56563346297</v>
      </c>
    </row>
    <row r="503" customFormat="false" ht="15" hidden="false" customHeight="true" outlineLevel="0" collapsed="false">
      <c r="A503" s="27" t="s">
        <v>178</v>
      </c>
    </row>
    <row r="504" customFormat="false" ht="21.75" hidden="false" customHeight="true" outlineLevel="0" collapsed="false">
      <c r="A504" s="43" t="s">
        <v>92</v>
      </c>
      <c r="B504" s="43" t="s">
        <v>145</v>
      </c>
      <c r="C504" s="43" t="s">
        <v>146</v>
      </c>
      <c r="D504" s="43" t="s">
        <v>147</v>
      </c>
      <c r="E504" s="43" t="s">
        <v>148</v>
      </c>
      <c r="F504" s="43" t="s">
        <v>149</v>
      </c>
    </row>
    <row r="505" customFormat="false" ht="15" hidden="false" customHeight="true" outlineLevel="0" collapsed="false">
      <c r="A505" s="23" t="n">
        <v>1</v>
      </c>
      <c r="B505" s="24" t="b">
        <f aca="false">A505&lt;=Inputs!$B$17</f>
        <v>1</v>
      </c>
      <c r="C505" s="25" t="n">
        <f aca="false">VLOOKUP("65",Inputs!$A$29:$K$33,2,FALSE())</f>
        <v>0.24</v>
      </c>
      <c r="D505" s="26" t="n">
        <f aca="false">IF(B505,C505*(VLOOKUP("65",Inputs!$A$29:$K$33,3,FALSE())*(Inputs!$B$25/14)*Inputs!$B$5+VLOOKUP("65",Inputs!$A$29:$K$33,4,FALSE())*(Inputs!$B$25/14)*Inputs!$B$12+VLOOKUP("65",Inputs!$A$29:$K$33,5,FALSE())*(Inputs!$B$25/14)*Inputs!$B$13)+(1-C505)*(VLOOKUP("65",Inputs!$A$29:$K$33,6,FALSE())*(Inputs!$B$25/14)*Inputs!$B$5+VLOOKUP("65",Inputs!$A$29:$K$33,7,FALSE())*(Inputs!$B$25/14)*Inputs!$B$12+VLOOKUP("65",Inputs!$A$29:$K$33,8,FALSE())*(Inputs!$B$25/14)*Inputs!$B$13),C505*((VLOOKUP("65",Inputs!$A$29:$K$33,3,FALSE())*(Inputs!$B$25/14)*Inputs!$B$5+VLOOKUP("65",Inputs!$A$29:$K$33,4,FALSE())*(Inputs!$B$25/14)*Inputs!$B$12+VLOOKUP("65",Inputs!$A$29:$K$33,5,FALSE())*(Inputs!$B$25/14)*Inputs!$B$13)+Inputs!$B$18)+(1-C505)*((VLOOKUP("65",Inputs!$A$29:$K$33,9,FALSE())*(Inputs!$B$25/14)*Inputs!$B$5+VLOOKUP("65",Inputs!$A$29:$K$33,10,FALSE())*(Inputs!$B$25/14)*Inputs!$B$12+VLOOKUP("65",Inputs!$A$29:$K$33,11,FALSE())*(Inputs!$B$25/14)*Inputs!$B$13)))</f>
        <v>164.887132751071</v>
      </c>
      <c r="E505" s="25" t="n">
        <f aca="false">Inputs!$B$21</f>
        <v>0.083</v>
      </c>
      <c r="F505" s="26" t="n">
        <f aca="false">E505*(VLOOKUP("65",Inputs!$A$29:$K$33,3,FALSE())*(Inputs!$B$25/14)*Inputs!$B$5+VLOOKUP("65",Inputs!$A$29:$K$33,4,FALSE())*(Inputs!$B$25/14)*Inputs!$B$12+VLOOKUP("65",Inputs!$A$29:$K$33,5,FALSE())*(Inputs!$B$25/14)*Inputs!$B$13)+(1-E505)*(INDEX(Inputs!$A$37:$C$37,1,1)*(Inputs!$B$25/14)*Inputs!$B$5+INDEX(Inputs!$A$37:$C$37,1,2)*(Inputs!$B$25/14)*Inputs!$B$12+INDEX(Inputs!$A$37:$C$37,1,3)*(Inputs!$B$25/14)*Inputs!$B$13)</f>
        <v>307.010383574576</v>
      </c>
    </row>
    <row r="506" customFormat="false" ht="15" hidden="false" customHeight="true" outlineLevel="0" collapsed="false">
      <c r="A506" s="23" t="n">
        <v>2</v>
      </c>
      <c r="B506" s="24" t="b">
        <f aca="false">A506&lt;=Inputs!$B$17</f>
        <v>1</v>
      </c>
      <c r="C506" s="25" t="n">
        <f aca="false">C505*(1-Inputs!$B$22*(0.9^(A506-2)))</f>
        <v>0.1656</v>
      </c>
      <c r="D506" s="26" t="n">
        <f aca="false">IF(B506,C506*(VLOOKUP("65",Inputs!$A$29:$K$33,3,FALSE())*(Inputs!$B$25/14)*Inputs!$B$5+VLOOKUP("65",Inputs!$A$29:$K$33,4,FALSE())*(Inputs!$B$25/14)*Inputs!$B$12+VLOOKUP("65",Inputs!$A$29:$K$33,5,FALSE())*(Inputs!$B$25/14)*Inputs!$B$13)+(1-C506)*(VLOOKUP("65",Inputs!$A$29:$K$33,6,FALSE())*(Inputs!$B$25/14)*Inputs!$B$5+VLOOKUP("65",Inputs!$A$29:$K$33,7,FALSE())*(Inputs!$B$25/14)*Inputs!$B$12+VLOOKUP("65",Inputs!$A$29:$K$33,8,FALSE())*(Inputs!$B$25/14)*Inputs!$B$13),C506*((VLOOKUP("65",Inputs!$A$29:$K$33,3,FALSE())*(Inputs!$B$25/14)*Inputs!$B$5+VLOOKUP("65",Inputs!$A$29:$K$33,4,FALSE())*(Inputs!$B$25/14)*Inputs!$B$12+VLOOKUP("65",Inputs!$A$29:$K$33,5,FALSE())*(Inputs!$B$25/14)*Inputs!$B$13)+Inputs!$B$18)+(1-C506)*((VLOOKUP("65",Inputs!$A$29:$K$33,9,FALSE())*(Inputs!$B$25/14)*Inputs!$B$5+VLOOKUP("65",Inputs!$A$29:$K$33,10,FALSE())*(Inputs!$B$25/14)*Inputs!$B$12+VLOOKUP("65",Inputs!$A$29:$K$33,11,FALSE())*(Inputs!$B$25/14)*Inputs!$B$13)))</f>
        <v>173.238518493507</v>
      </c>
      <c r="E506" s="25" t="n">
        <f aca="false">0</f>
        <v>0</v>
      </c>
      <c r="F50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07" customFormat="false" ht="15" hidden="false" customHeight="true" outlineLevel="0" collapsed="false">
      <c r="A507" s="23" t="n">
        <v>3</v>
      </c>
      <c r="B507" s="24" t="b">
        <f aca="false">A507&lt;=Inputs!$B$17</f>
        <v>1</v>
      </c>
      <c r="C507" s="25" t="n">
        <f aca="false">C506*(1-Inputs!$B$22*(0.9^(A507-2)))</f>
        <v>0.1193976</v>
      </c>
      <c r="D507" s="26" t="n">
        <f aca="false">IF(B507,C507*(VLOOKUP("65",Inputs!$A$29:$K$33,3,FALSE())*(Inputs!$B$25/14)*Inputs!$B$5+VLOOKUP("65",Inputs!$A$29:$K$33,4,FALSE())*(Inputs!$B$25/14)*Inputs!$B$12+VLOOKUP("65",Inputs!$A$29:$K$33,5,FALSE())*(Inputs!$B$25/14)*Inputs!$B$13)+(1-C507)*(VLOOKUP("65",Inputs!$A$29:$K$33,6,FALSE())*(Inputs!$B$25/14)*Inputs!$B$5+VLOOKUP("65",Inputs!$A$29:$K$33,7,FALSE())*(Inputs!$B$25/14)*Inputs!$B$12+VLOOKUP("65",Inputs!$A$29:$K$33,8,FALSE())*(Inputs!$B$25/14)*Inputs!$B$13),C507*((VLOOKUP("65",Inputs!$A$29:$K$33,3,FALSE())*(Inputs!$B$25/14)*Inputs!$B$5+VLOOKUP("65",Inputs!$A$29:$K$33,4,FALSE())*(Inputs!$B$25/14)*Inputs!$B$12+VLOOKUP("65",Inputs!$A$29:$K$33,5,FALSE())*(Inputs!$B$25/14)*Inputs!$B$13)+Inputs!$B$18)+(1-C507)*((VLOOKUP("65",Inputs!$A$29:$K$33,9,FALSE())*(Inputs!$B$25/14)*Inputs!$B$5+VLOOKUP("65",Inputs!$A$29:$K$33,10,FALSE())*(Inputs!$B$25/14)*Inputs!$B$12+VLOOKUP("65",Inputs!$A$29:$K$33,11,FALSE())*(Inputs!$B$25/14)*Inputs!$B$13)))</f>
        <v>178.42472903956</v>
      </c>
      <c r="E507" s="25" t="n">
        <f aca="false">0</f>
        <v>0</v>
      </c>
      <c r="F507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08" customFormat="false" ht="15" hidden="false" customHeight="true" outlineLevel="0" collapsed="false">
      <c r="A508" s="23" t="n">
        <v>4</v>
      </c>
      <c r="B508" s="24" t="b">
        <f aca="false">A508&lt;=Inputs!$B$17</f>
        <v>0</v>
      </c>
      <c r="C508" s="25" t="n">
        <f aca="false">C507*(1-Inputs!$B$22*(0.9^(A508-2)))</f>
        <v>0.08941686264</v>
      </c>
      <c r="D508" s="26" t="n">
        <f aca="false">IF(B508,C508*(VLOOKUP("65",Inputs!$A$29:$K$33,3,FALSE())*(Inputs!$B$25/14)*Inputs!$B$5+VLOOKUP("65",Inputs!$A$29:$K$33,4,FALSE())*(Inputs!$B$25/14)*Inputs!$B$12+VLOOKUP("65",Inputs!$A$29:$K$33,5,FALSE())*(Inputs!$B$25/14)*Inputs!$B$13)+(1-C508)*(VLOOKUP("65",Inputs!$A$29:$K$33,6,FALSE())*(Inputs!$B$25/14)*Inputs!$B$5+VLOOKUP("65",Inputs!$A$29:$K$33,7,FALSE())*(Inputs!$B$25/14)*Inputs!$B$12+VLOOKUP("65",Inputs!$A$29:$K$33,8,FALSE())*(Inputs!$B$25/14)*Inputs!$B$13),C508*((VLOOKUP("65",Inputs!$A$29:$K$33,3,FALSE())*(Inputs!$B$25/14)*Inputs!$B$5+VLOOKUP("65",Inputs!$A$29:$K$33,4,FALSE())*(Inputs!$B$25/14)*Inputs!$B$12+VLOOKUP("65",Inputs!$A$29:$K$33,5,FALSE())*(Inputs!$B$25/14)*Inputs!$B$13)+Inputs!$B$18)+(1-C508)*((VLOOKUP("65",Inputs!$A$29:$K$33,9,FALSE())*(Inputs!$B$25/14)*Inputs!$B$5+VLOOKUP("65",Inputs!$A$29:$K$33,10,FALSE())*(Inputs!$B$25/14)*Inputs!$B$12+VLOOKUP("65",Inputs!$A$29:$K$33,11,FALSE())*(Inputs!$B$25/14)*Inputs!$B$13)))</f>
        <v>291.724301076052</v>
      </c>
      <c r="E508" s="25" t="n">
        <f aca="false">0</f>
        <v>0</v>
      </c>
      <c r="F508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09" customFormat="false" ht="15" hidden="false" customHeight="true" outlineLevel="0" collapsed="false">
      <c r="A509" s="23" t="n">
        <v>5</v>
      </c>
      <c r="B509" s="24" t="b">
        <f aca="false">A509&lt;=Inputs!$B$17</f>
        <v>0</v>
      </c>
      <c r="C509" s="25" t="n">
        <f aca="false">C508*(1-Inputs!$B$22*(0.9^(A509-2)))</f>
        <v>0.0692095458519864</v>
      </c>
      <c r="D509" s="26" t="n">
        <f aca="false">IF(B509,C509*(VLOOKUP("65",Inputs!$A$29:$K$33,3,FALSE())*(Inputs!$B$25/14)*Inputs!$B$5+VLOOKUP("65",Inputs!$A$29:$K$33,4,FALSE())*(Inputs!$B$25/14)*Inputs!$B$12+VLOOKUP("65",Inputs!$A$29:$K$33,5,FALSE())*(Inputs!$B$25/14)*Inputs!$B$13)+(1-C509)*(VLOOKUP("65",Inputs!$A$29:$K$33,6,FALSE())*(Inputs!$B$25/14)*Inputs!$B$5+VLOOKUP("65",Inputs!$A$29:$K$33,7,FALSE())*(Inputs!$B$25/14)*Inputs!$B$12+VLOOKUP("65",Inputs!$A$29:$K$33,8,FALSE())*(Inputs!$B$25/14)*Inputs!$B$13),C509*((VLOOKUP("65",Inputs!$A$29:$K$33,3,FALSE())*(Inputs!$B$25/14)*Inputs!$B$5+VLOOKUP("65",Inputs!$A$29:$K$33,4,FALSE())*(Inputs!$B$25/14)*Inputs!$B$12+VLOOKUP("65",Inputs!$A$29:$K$33,5,FALSE())*(Inputs!$B$25/14)*Inputs!$B$13)+Inputs!$B$18)+(1-C509)*((VLOOKUP("65",Inputs!$A$29:$K$33,9,FALSE())*(Inputs!$B$25/14)*Inputs!$B$5+VLOOKUP("65",Inputs!$A$29:$K$33,10,FALSE())*(Inputs!$B$25/14)*Inputs!$B$12+VLOOKUP("65",Inputs!$A$29:$K$33,11,FALSE())*(Inputs!$B$25/14)*Inputs!$B$13)))</f>
        <v>291.808933028547</v>
      </c>
      <c r="E509" s="25" t="n">
        <f aca="false">0</f>
        <v>0</v>
      </c>
      <c r="F509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0" customFormat="false" ht="15" hidden="false" customHeight="true" outlineLevel="0" collapsed="false">
      <c r="A510" s="23" t="n">
        <v>6</v>
      </c>
      <c r="B510" s="24" t="b">
        <f aca="false">A510&lt;=Inputs!$B$17</f>
        <v>0</v>
      </c>
      <c r="C510" s="25" t="n">
        <f aca="false">C509*(1-Inputs!$B$22*(0.9^(A510-2)))</f>
        <v>0.055132947111605</v>
      </c>
      <c r="D510" s="26" t="n">
        <f aca="false">IF(B510,C510*(VLOOKUP("65",Inputs!$A$29:$K$33,3,FALSE())*(Inputs!$B$25/14)*Inputs!$B$5+VLOOKUP("65",Inputs!$A$29:$K$33,4,FALSE())*(Inputs!$B$25/14)*Inputs!$B$12+VLOOKUP("65",Inputs!$A$29:$K$33,5,FALSE())*(Inputs!$B$25/14)*Inputs!$B$13)+(1-C510)*(VLOOKUP("65",Inputs!$A$29:$K$33,6,FALSE())*(Inputs!$B$25/14)*Inputs!$B$5+VLOOKUP("65",Inputs!$A$29:$K$33,7,FALSE())*(Inputs!$B$25/14)*Inputs!$B$12+VLOOKUP("65",Inputs!$A$29:$K$33,8,FALSE())*(Inputs!$B$25/14)*Inputs!$B$13),C510*((VLOOKUP("65",Inputs!$A$29:$K$33,3,FALSE())*(Inputs!$B$25/14)*Inputs!$B$5+VLOOKUP("65",Inputs!$A$29:$K$33,4,FALSE())*(Inputs!$B$25/14)*Inputs!$B$12+VLOOKUP("65",Inputs!$A$29:$K$33,5,FALSE())*(Inputs!$B$25/14)*Inputs!$B$13)+Inputs!$B$18)+(1-C510)*((VLOOKUP("65",Inputs!$A$29:$K$33,9,FALSE())*(Inputs!$B$25/14)*Inputs!$B$5+VLOOKUP("65",Inputs!$A$29:$K$33,10,FALSE())*(Inputs!$B$25/14)*Inputs!$B$12+VLOOKUP("65",Inputs!$A$29:$K$33,11,FALSE())*(Inputs!$B$25/14)*Inputs!$B$13)))</f>
        <v>291.867888408342</v>
      </c>
      <c r="E510" s="25" t="n">
        <f aca="false">0</f>
        <v>0</v>
      </c>
      <c r="F510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1" customFormat="false" ht="15" hidden="false" customHeight="true" outlineLevel="0" collapsed="false">
      <c r="A511" s="23" t="n">
        <v>7</v>
      </c>
      <c r="B511" s="24" t="b">
        <f aca="false">A511&lt;=Inputs!$B$17</f>
        <v>0</v>
      </c>
      <c r="C511" s="25" t="n">
        <f aca="false">C510*(1-Inputs!$B$22*(0.9^(A511-2)))</f>
        <v>0.0450407563902262</v>
      </c>
      <c r="D511" s="26" t="n">
        <f aca="false">IF(B511,C511*(VLOOKUP("65",Inputs!$A$29:$K$33,3,FALSE())*(Inputs!$B$25/14)*Inputs!$B$5+VLOOKUP("65",Inputs!$A$29:$K$33,4,FALSE())*(Inputs!$B$25/14)*Inputs!$B$12+VLOOKUP("65",Inputs!$A$29:$K$33,5,FALSE())*(Inputs!$B$25/14)*Inputs!$B$13)+(1-C511)*(VLOOKUP("65",Inputs!$A$29:$K$33,6,FALSE())*(Inputs!$B$25/14)*Inputs!$B$5+VLOOKUP("65",Inputs!$A$29:$K$33,7,FALSE())*(Inputs!$B$25/14)*Inputs!$B$12+VLOOKUP("65",Inputs!$A$29:$K$33,8,FALSE())*(Inputs!$B$25/14)*Inputs!$B$13),C511*((VLOOKUP("65",Inputs!$A$29:$K$33,3,FALSE())*(Inputs!$B$25/14)*Inputs!$B$5+VLOOKUP("65",Inputs!$A$29:$K$33,4,FALSE())*(Inputs!$B$25/14)*Inputs!$B$12+VLOOKUP("65",Inputs!$A$29:$K$33,5,FALSE())*(Inputs!$B$25/14)*Inputs!$B$13)+Inputs!$B$18)+(1-C511)*((VLOOKUP("65",Inputs!$A$29:$K$33,9,FALSE())*(Inputs!$B$25/14)*Inputs!$B$5+VLOOKUP("65",Inputs!$A$29:$K$33,10,FALSE())*(Inputs!$B$25/14)*Inputs!$B$12+VLOOKUP("65",Inputs!$A$29:$K$33,11,FALSE())*(Inputs!$B$25/14)*Inputs!$B$13)))</f>
        <v>291.910156355872</v>
      </c>
      <c r="E511" s="25" t="n">
        <f aca="false">0</f>
        <v>0</v>
      </c>
      <c r="F511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2" customFormat="false" ht="15" hidden="false" customHeight="true" outlineLevel="0" collapsed="false">
      <c r="A512" s="23" t="n">
        <v>8</v>
      </c>
      <c r="B512" s="24" t="b">
        <f aca="false">A512&lt;=Inputs!$B$17</f>
        <v>0</v>
      </c>
      <c r="C512" s="25" t="n">
        <f aca="false">C511*(1-Inputs!$B$22*(0.9^(A512-2)))</f>
        <v>0.037620439959025</v>
      </c>
      <c r="D512" s="26" t="n">
        <f aca="false">IF(B512,C512*(VLOOKUP("65",Inputs!$A$29:$K$33,3,FALSE())*(Inputs!$B$25/14)*Inputs!$B$5+VLOOKUP("65",Inputs!$A$29:$K$33,4,FALSE())*(Inputs!$B$25/14)*Inputs!$B$12+VLOOKUP("65",Inputs!$A$29:$K$33,5,FALSE())*(Inputs!$B$25/14)*Inputs!$B$13)+(1-C512)*(VLOOKUP("65",Inputs!$A$29:$K$33,6,FALSE())*(Inputs!$B$25/14)*Inputs!$B$5+VLOOKUP("65",Inputs!$A$29:$K$33,7,FALSE())*(Inputs!$B$25/14)*Inputs!$B$12+VLOOKUP("65",Inputs!$A$29:$K$33,8,FALSE())*(Inputs!$B$25/14)*Inputs!$B$13),C512*((VLOOKUP("65",Inputs!$A$29:$K$33,3,FALSE())*(Inputs!$B$25/14)*Inputs!$B$5+VLOOKUP("65",Inputs!$A$29:$K$33,4,FALSE())*(Inputs!$B$25/14)*Inputs!$B$12+VLOOKUP("65",Inputs!$A$29:$K$33,5,FALSE())*(Inputs!$B$25/14)*Inputs!$B$13)+Inputs!$B$18)+(1-C512)*((VLOOKUP("65",Inputs!$A$29:$K$33,9,FALSE())*(Inputs!$B$25/14)*Inputs!$B$5+VLOOKUP("65",Inputs!$A$29:$K$33,10,FALSE())*(Inputs!$B$25/14)*Inputs!$B$12+VLOOKUP("65",Inputs!$A$29:$K$33,11,FALSE())*(Inputs!$B$25/14)*Inputs!$B$13)))</f>
        <v>291.941234003354</v>
      </c>
      <c r="E512" s="25" t="n">
        <f aca="false">0</f>
        <v>0</v>
      </c>
      <c r="F512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3" customFormat="false" ht="15" hidden="false" customHeight="true" outlineLevel="0" collapsed="false">
      <c r="A513" s="23" t="n">
        <v>9</v>
      </c>
      <c r="B513" s="24" t="b">
        <f aca="false">A513&lt;=Inputs!$B$17</f>
        <v>0</v>
      </c>
      <c r="C513" s="25" t="n">
        <f aca="false">C512*(1-Inputs!$B$22*(0.9^(A513-2)))</f>
        <v>0.0320423806182233</v>
      </c>
      <c r="D513" s="26" t="n">
        <f aca="false">IF(B513,C513*(VLOOKUP("65",Inputs!$A$29:$K$33,3,FALSE())*(Inputs!$B$25/14)*Inputs!$B$5+VLOOKUP("65",Inputs!$A$29:$K$33,4,FALSE())*(Inputs!$B$25/14)*Inputs!$B$12+VLOOKUP("65",Inputs!$A$29:$K$33,5,FALSE())*(Inputs!$B$25/14)*Inputs!$B$13)+(1-C513)*(VLOOKUP("65",Inputs!$A$29:$K$33,6,FALSE())*(Inputs!$B$25/14)*Inputs!$B$5+VLOOKUP("65",Inputs!$A$29:$K$33,7,FALSE())*(Inputs!$B$25/14)*Inputs!$B$12+VLOOKUP("65",Inputs!$A$29:$K$33,8,FALSE())*(Inputs!$B$25/14)*Inputs!$B$13),C513*((VLOOKUP("65",Inputs!$A$29:$K$33,3,FALSE())*(Inputs!$B$25/14)*Inputs!$B$5+VLOOKUP("65",Inputs!$A$29:$K$33,4,FALSE())*(Inputs!$B$25/14)*Inputs!$B$12+VLOOKUP("65",Inputs!$A$29:$K$33,5,FALSE())*(Inputs!$B$25/14)*Inputs!$B$13)+Inputs!$B$18)+(1-C513)*((VLOOKUP("65",Inputs!$A$29:$K$33,9,FALSE())*(Inputs!$B$25/14)*Inputs!$B$5+VLOOKUP("65",Inputs!$A$29:$K$33,10,FALSE())*(Inputs!$B$25/14)*Inputs!$B$12+VLOOKUP("65",Inputs!$A$29:$K$33,11,FALSE())*(Inputs!$B$25/14)*Inputs!$B$13)))</f>
        <v>291.964595939929</v>
      </c>
      <c r="E513" s="25" t="n">
        <f aca="false">0</f>
        <v>0</v>
      </c>
      <c r="F513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4" customFormat="false" ht="15" hidden="false" customHeight="true" outlineLevel="0" collapsed="false">
      <c r="A514" s="23" t="n">
        <v>10</v>
      </c>
      <c r="B514" s="24" t="b">
        <f aca="false">A514&lt;=Inputs!$B$17</f>
        <v>0</v>
      </c>
      <c r="C514" s="25" t="n">
        <f aca="false">C513*(1-Inputs!$B$22*(0.9^(A514-2)))</f>
        <v>0.027766490420413</v>
      </c>
      <c r="D514" s="26" t="n">
        <f aca="false">IF(B514,C514*(VLOOKUP("65",Inputs!$A$29:$K$33,3,FALSE())*(Inputs!$B$25/14)*Inputs!$B$5+VLOOKUP("65",Inputs!$A$29:$K$33,4,FALSE())*(Inputs!$B$25/14)*Inputs!$B$12+VLOOKUP("65",Inputs!$A$29:$K$33,5,FALSE())*(Inputs!$B$25/14)*Inputs!$B$13)+(1-C514)*(VLOOKUP("65",Inputs!$A$29:$K$33,6,FALSE())*(Inputs!$B$25/14)*Inputs!$B$5+VLOOKUP("65",Inputs!$A$29:$K$33,7,FALSE())*(Inputs!$B$25/14)*Inputs!$B$12+VLOOKUP("65",Inputs!$A$29:$K$33,8,FALSE())*(Inputs!$B$25/14)*Inputs!$B$13),C514*((VLOOKUP("65",Inputs!$A$29:$K$33,3,FALSE())*(Inputs!$B$25/14)*Inputs!$B$5+VLOOKUP("65",Inputs!$A$29:$K$33,4,FALSE())*(Inputs!$B$25/14)*Inputs!$B$12+VLOOKUP("65",Inputs!$A$29:$K$33,5,FALSE())*(Inputs!$B$25/14)*Inputs!$B$13)+Inputs!$B$18)+(1-C514)*((VLOOKUP("65",Inputs!$A$29:$K$33,9,FALSE())*(Inputs!$B$25/14)*Inputs!$B$5+VLOOKUP("65",Inputs!$A$29:$K$33,10,FALSE())*(Inputs!$B$25/14)*Inputs!$B$12+VLOOKUP("65",Inputs!$A$29:$K$33,11,FALSE())*(Inputs!$B$25/14)*Inputs!$B$13)))</f>
        <v>291.982504153072</v>
      </c>
      <c r="E514" s="25" t="n">
        <f aca="false">0</f>
        <v>0</v>
      </c>
      <c r="F514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5" customFormat="false" ht="15" hidden="false" customHeight="true" outlineLevel="0" collapsed="false">
      <c r="A515" s="23" t="n">
        <v>11</v>
      </c>
      <c r="B515" s="24" t="b">
        <f aca="false">A515&lt;=Inputs!$B$17</f>
        <v>0</v>
      </c>
      <c r="C515" s="25" t="n">
        <f aca="false">C514*(1-Inputs!$B$22*(0.9^(A515-2)))</f>
        <v>0.024431725158501</v>
      </c>
      <c r="D515" s="26" t="n">
        <f aca="false">IF(B515,C515*(VLOOKUP("65",Inputs!$A$29:$K$33,3,FALSE())*(Inputs!$B$25/14)*Inputs!$B$5+VLOOKUP("65",Inputs!$A$29:$K$33,4,FALSE())*(Inputs!$B$25/14)*Inputs!$B$12+VLOOKUP("65",Inputs!$A$29:$K$33,5,FALSE())*(Inputs!$B$25/14)*Inputs!$B$13)+(1-C515)*(VLOOKUP("65",Inputs!$A$29:$K$33,6,FALSE())*(Inputs!$B$25/14)*Inputs!$B$5+VLOOKUP("65",Inputs!$A$29:$K$33,7,FALSE())*(Inputs!$B$25/14)*Inputs!$B$12+VLOOKUP("65",Inputs!$A$29:$K$33,8,FALSE())*(Inputs!$B$25/14)*Inputs!$B$13),C515*((VLOOKUP("65",Inputs!$A$29:$K$33,3,FALSE())*(Inputs!$B$25/14)*Inputs!$B$5+VLOOKUP("65",Inputs!$A$29:$K$33,4,FALSE())*(Inputs!$B$25/14)*Inputs!$B$12+VLOOKUP("65",Inputs!$A$29:$K$33,5,FALSE())*(Inputs!$B$25/14)*Inputs!$B$13)+Inputs!$B$18)+(1-C515)*((VLOOKUP("65",Inputs!$A$29:$K$33,9,FALSE())*(Inputs!$B$25/14)*Inputs!$B$5+VLOOKUP("65",Inputs!$A$29:$K$33,10,FALSE())*(Inputs!$B$25/14)*Inputs!$B$12+VLOOKUP("65",Inputs!$A$29:$K$33,11,FALSE())*(Inputs!$B$25/14)*Inputs!$B$13)))</f>
        <v>291.996470762206</v>
      </c>
      <c r="E515" s="25" t="n">
        <f aca="false">0</f>
        <v>0</v>
      </c>
      <c r="F515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6" customFormat="false" ht="15" hidden="false" customHeight="true" outlineLevel="0" collapsed="false">
      <c r="A516" s="23" t="n">
        <v>12</v>
      </c>
      <c r="B516" s="24" t="b">
        <f aca="false">A516&lt;=Inputs!$B$17</f>
        <v>0</v>
      </c>
      <c r="C516" s="25" t="n">
        <f aca="false">C515*(1-Inputs!$B$22*(0.9^(A516-2)))</f>
        <v>0.0217908922551634</v>
      </c>
      <c r="D516" s="26" t="n">
        <f aca="false">IF(B516,C516*(VLOOKUP("65",Inputs!$A$29:$K$33,3,FALSE())*(Inputs!$B$25/14)*Inputs!$B$5+VLOOKUP("65",Inputs!$A$29:$K$33,4,FALSE())*(Inputs!$B$25/14)*Inputs!$B$12+VLOOKUP("65",Inputs!$A$29:$K$33,5,FALSE())*(Inputs!$B$25/14)*Inputs!$B$13)+(1-C516)*(VLOOKUP("65",Inputs!$A$29:$K$33,6,FALSE())*(Inputs!$B$25/14)*Inputs!$B$5+VLOOKUP("65",Inputs!$A$29:$K$33,7,FALSE())*(Inputs!$B$25/14)*Inputs!$B$12+VLOOKUP("65",Inputs!$A$29:$K$33,8,FALSE())*(Inputs!$B$25/14)*Inputs!$B$13),C516*((VLOOKUP("65",Inputs!$A$29:$K$33,3,FALSE())*(Inputs!$B$25/14)*Inputs!$B$5+VLOOKUP("65",Inputs!$A$29:$K$33,4,FALSE())*(Inputs!$B$25/14)*Inputs!$B$12+VLOOKUP("65",Inputs!$A$29:$K$33,5,FALSE())*(Inputs!$B$25/14)*Inputs!$B$13)+Inputs!$B$18)+(1-C516)*((VLOOKUP("65",Inputs!$A$29:$K$33,9,FALSE())*(Inputs!$B$25/14)*Inputs!$B$5+VLOOKUP("65",Inputs!$A$29:$K$33,10,FALSE())*(Inputs!$B$25/14)*Inputs!$B$12+VLOOKUP("65",Inputs!$A$29:$K$33,11,FALSE())*(Inputs!$B$25/14)*Inputs!$B$13)))</f>
        <v>292.007531055226</v>
      </c>
      <c r="E516" s="25" t="n">
        <f aca="false">0</f>
        <v>0</v>
      </c>
      <c r="F516" s="26" t="n">
        <f aca="false">(INDEX(Inputs!$A$37:$C$37,1,1)*(Inputs!$B$25/14)*Inputs!$B$5+INDEX(Inputs!$A$37:$C$37,1,2)*(Inputs!$B$25/14)*Inputs!$B$12+INDEX(Inputs!$A$37:$C$37,1,3)*(Inputs!$B$25/14)*Inputs!$B$13)</f>
        <v>327.595931808036</v>
      </c>
    </row>
    <row r="517" customFormat="false" ht="15" hidden="false" customHeight="true" outlineLevel="0" collapsed="false">
      <c r="A517" s="27" t="s">
        <v>125</v>
      </c>
      <c r="D517" s="28" t="n">
        <f aca="false">SUM(D505:D516)</f>
        <v>3143.75399506674</v>
      </c>
      <c r="F517" s="28" t="n">
        <f aca="false">SUM(F505:F516)</f>
        <v>3910.56563346297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8"/>
    <col collapsed="false" customWidth="true" hidden="false" outlineLevel="0" max="2" min="2" style="5" width="10"/>
    <col collapsed="false" customWidth="true" hidden="false" outlineLevel="0" max="3" min="3" style="5" width="12"/>
    <col collapsed="false" customWidth="true" hidden="false" outlineLevel="0" max="5" min="4" style="5" width="10"/>
    <col collapsed="false" customWidth="true" hidden="false" outlineLevel="0" max="10" min="6" style="5" width="16"/>
  </cols>
  <sheetData>
    <row r="1" customFormat="false" ht="17.25" hidden="false" customHeight="true" outlineLevel="0" collapsed="false">
      <c r="A1" s="6" t="s">
        <v>179</v>
      </c>
    </row>
    <row r="2" customFormat="false" ht="15" hidden="false" customHeight="true" outlineLevel="0" collapsed="false">
      <c r="A2" s="7" t="s">
        <v>180</v>
      </c>
    </row>
    <row r="4" customFormat="false" ht="15" hidden="false" customHeight="true" outlineLevel="0" collapsed="false">
      <c r="A4" s="38" t="s">
        <v>181</v>
      </c>
      <c r="B4" s="39"/>
      <c r="C4" s="39"/>
      <c r="D4" s="39"/>
      <c r="E4" s="39"/>
      <c r="F4" s="39"/>
      <c r="G4" s="39"/>
    </row>
    <row r="5" customFormat="false" ht="15" hidden="false" customHeight="true" outlineLevel="0" collapsed="false">
      <c r="A5" s="30" t="s">
        <v>182</v>
      </c>
      <c r="B5" s="30" t="s">
        <v>183</v>
      </c>
      <c r="C5" s="30" t="s">
        <v>184</v>
      </c>
      <c r="D5" s="30" t="s">
        <v>185</v>
      </c>
      <c r="E5" s="30" t="s">
        <v>186</v>
      </c>
      <c r="F5" s="30" t="s">
        <v>187</v>
      </c>
      <c r="G5" s="30" t="s">
        <v>188</v>
      </c>
    </row>
    <row r="6" customFormat="false" ht="15" hidden="false" customHeight="true" outlineLevel="0" collapsed="false">
      <c r="A6" s="23" t="s">
        <v>189</v>
      </c>
      <c r="B6" s="23" t="n">
        <v>7.5</v>
      </c>
      <c r="C6" s="23" t="n">
        <v>4.88</v>
      </c>
      <c r="D6" s="23" t="n">
        <v>10.67</v>
      </c>
      <c r="E6" s="40" t="n">
        <f aca="false">OWSA!D33</f>
        <v>101.686150629735</v>
      </c>
      <c r="F6" s="40" t="n">
        <f aca="false">OWSA!D49</f>
        <v>-1126.51360125714</v>
      </c>
      <c r="G6" s="40" t="n">
        <f aca="false">ABS(F6-E6)</f>
        <v>1228.19975188687</v>
      </c>
    </row>
    <row r="7" customFormat="false" ht="15" hidden="false" customHeight="true" outlineLevel="0" collapsed="false">
      <c r="A7" s="23" t="s">
        <v>190</v>
      </c>
      <c r="B7" s="23" t="n">
        <v>4.1</v>
      </c>
      <c r="C7" s="23" t="n">
        <v>1</v>
      </c>
      <c r="D7" s="23" t="n">
        <v>9.33</v>
      </c>
      <c r="E7" s="40" t="n">
        <f aca="false">OWSA!D65</f>
        <v>-703.428700737099</v>
      </c>
      <c r="F7" s="40" t="n">
        <f aca="false">OWSA!D81</f>
        <v>-33.4033758282985</v>
      </c>
      <c r="G7" s="40" t="n">
        <f aca="false">ABS(F7-E7)</f>
        <v>670.0253249088</v>
      </c>
    </row>
    <row r="8" customFormat="false" ht="15" hidden="false" customHeight="true" outlineLevel="0" collapsed="false">
      <c r="A8" s="23" t="s">
        <v>191</v>
      </c>
      <c r="B8" s="23" t="n">
        <v>2.5</v>
      </c>
      <c r="C8" s="23" t="n">
        <v>1.04</v>
      </c>
      <c r="D8" s="23" t="n">
        <v>4.59</v>
      </c>
      <c r="E8" s="40" t="n">
        <f aca="false">OWSA!D97</f>
        <v>-646.345620958569</v>
      </c>
      <c r="F8" s="40" t="n">
        <f aca="false">OWSA!D113</f>
        <v>-178.84932871971</v>
      </c>
      <c r="G8" s="40" t="n">
        <f aca="false">ABS(F8-E8)</f>
        <v>467.496292238859</v>
      </c>
    </row>
    <row r="9" customFormat="false" ht="15" hidden="false" customHeight="true" outlineLevel="0" collapsed="false">
      <c r="A9" s="23" t="s">
        <v>192</v>
      </c>
      <c r="B9" s="23" t="n">
        <v>0.867</v>
      </c>
      <c r="C9" s="23" t="n">
        <v>0.661</v>
      </c>
      <c r="D9" s="23" t="n">
        <v>0.982</v>
      </c>
      <c r="E9" s="40" t="n">
        <f aca="false">OWSA!D129</f>
        <v>-319.434744284188</v>
      </c>
      <c r="F9" s="40" t="n">
        <f aca="false">OWSA!D145</f>
        <v>-529.245324338375</v>
      </c>
      <c r="G9" s="40" t="n">
        <f aca="false">ABS(F9-E9)</f>
        <v>209.810580054187</v>
      </c>
    </row>
    <row r="10" customFormat="false" ht="15" hidden="false" customHeight="true" outlineLevel="0" collapsed="false">
      <c r="A10" s="23" t="s">
        <v>193</v>
      </c>
      <c r="B10" s="23" t="n">
        <v>2.5</v>
      </c>
      <c r="C10" s="23" t="n">
        <v>0.32</v>
      </c>
      <c r="D10" s="23" t="n">
        <v>6.89</v>
      </c>
      <c r="E10" s="40" t="n">
        <f aca="false">OWSA!D161</f>
        <v>-513.09570294967</v>
      </c>
      <c r="F10" s="40" t="n">
        <f aca="false">OWSA!D177</f>
        <v>-335.235065692527</v>
      </c>
      <c r="G10" s="40" t="n">
        <f aca="false">ABS(F10-E10)</f>
        <v>177.860637257143</v>
      </c>
    </row>
    <row r="11" customFormat="false" ht="15" hidden="false" customHeight="true" outlineLevel="0" collapsed="false">
      <c r="A11" s="23" t="s">
        <v>194</v>
      </c>
      <c r="B11" s="23" t="n">
        <v>1.3</v>
      </c>
      <c r="C11" s="23" t="n">
        <v>0.45</v>
      </c>
      <c r="D11" s="23" t="n">
        <v>2.59</v>
      </c>
      <c r="E11" s="40" t="n">
        <f aca="false">OWSA!D193</f>
        <v>-393.395061563955</v>
      </c>
      <c r="F11" s="40" t="n">
        <f aca="false">OWSA!D209</f>
        <v>-546.177160735384</v>
      </c>
      <c r="G11" s="40" t="n">
        <f aca="false">ABS(F11-E11)</f>
        <v>152.782099171428</v>
      </c>
    </row>
    <row r="12" customFormat="false" ht="15" hidden="false" customHeight="true" outlineLevel="0" collapsed="false">
      <c r="A12" s="23" t="s">
        <v>195</v>
      </c>
      <c r="B12" s="23" t="n">
        <v>0.4</v>
      </c>
      <c r="C12" s="23" t="n">
        <v>0.263</v>
      </c>
      <c r="D12" s="23" t="n">
        <v>0.545</v>
      </c>
      <c r="E12" s="40" t="n">
        <f aca="false">OWSA!D225</f>
        <v>-412.658616644488</v>
      </c>
      <c r="F12" s="40" t="n">
        <f aca="false">OWSA!D241</f>
        <v>-497.919203831171</v>
      </c>
      <c r="G12" s="40" t="n">
        <f aca="false">ABS(F12-E12)</f>
        <v>85.2605871866836</v>
      </c>
    </row>
    <row r="13" customFormat="false" ht="15" hidden="false" customHeight="true" outlineLevel="0" collapsed="false">
      <c r="A13" s="23" t="s">
        <v>196</v>
      </c>
      <c r="B13" s="23" t="n">
        <v>10.8</v>
      </c>
      <c r="C13" s="23" t="n">
        <v>6.68</v>
      </c>
      <c r="D13" s="23" t="n">
        <v>15.9</v>
      </c>
      <c r="E13" s="40" t="n">
        <f aca="false">OWSA!D257</f>
        <v>-421.424057407705</v>
      </c>
      <c r="F13" s="40" t="n">
        <f aca="false">OWSA!D273</f>
        <v>-494.502589302795</v>
      </c>
      <c r="G13" s="40" t="n">
        <f aca="false">ABS(F13-E13)</f>
        <v>73.0785318950893</v>
      </c>
    </row>
    <row r="14" customFormat="false" ht="15" hidden="false" customHeight="true" outlineLevel="0" collapsed="false">
      <c r="A14" s="23" t="s">
        <v>197</v>
      </c>
      <c r="B14" s="23" t="n">
        <v>0.6</v>
      </c>
      <c r="C14" s="23" t="n">
        <v>0.1</v>
      </c>
      <c r="D14" s="23" t="n">
        <v>1.52</v>
      </c>
      <c r="E14" s="40" t="n">
        <f aca="false">OWSA!D289</f>
        <v>-476.240475206813</v>
      </c>
      <c r="F14" s="40" t="n">
        <f aca="false">OWSA!D305</f>
        <v>-413.303419806813</v>
      </c>
      <c r="G14" s="40" t="n">
        <f aca="false">ABS(F14-E14)</f>
        <v>62.9370553999997</v>
      </c>
    </row>
    <row r="15" customFormat="false" ht="15" hidden="false" customHeight="true" outlineLevel="0" collapsed="false">
      <c r="A15" s="23" t="s">
        <v>198</v>
      </c>
      <c r="B15" s="23" t="n">
        <v>0.31</v>
      </c>
      <c r="C15" s="23" t="n">
        <v>0.162</v>
      </c>
      <c r="D15" s="23" t="n">
        <v>0.541</v>
      </c>
      <c r="E15" s="40" t="n">
        <f aca="false">OWSA!D321</f>
        <v>-471.340159115827</v>
      </c>
      <c r="F15" s="40" t="n">
        <f aca="false">OWSA!D337</f>
        <v>-427.138979612338</v>
      </c>
      <c r="G15" s="40" t="n">
        <f aca="false">ABS(F15-E15)</f>
        <v>44.2011795034891</v>
      </c>
    </row>
    <row r="17" customFormat="false" ht="15" hidden="false" customHeight="true" outlineLevel="0" collapsed="false">
      <c r="A17" s="38" t="s">
        <v>199</v>
      </c>
      <c r="B17" s="39"/>
      <c r="C17" s="39"/>
      <c r="D17" s="39"/>
      <c r="E17" s="39"/>
      <c r="F17" s="39"/>
      <c r="G17" s="39"/>
    </row>
    <row r="19" customFormat="false" ht="15" hidden="false" customHeight="true" outlineLevel="0" collapsed="false">
      <c r="A19" s="27" t="s">
        <v>200</v>
      </c>
    </row>
    <row r="20" customFormat="false" ht="21.75" hidden="false" customHeight="true" outlineLevel="0" collapsed="false">
      <c r="A20" s="43" t="s">
        <v>92</v>
      </c>
      <c r="B20" s="43" t="s">
        <v>145</v>
      </c>
      <c r="C20" s="43" t="s">
        <v>146</v>
      </c>
      <c r="D20" s="43" t="s">
        <v>147</v>
      </c>
      <c r="E20" s="43" t="s">
        <v>148</v>
      </c>
      <c r="F20" s="43" t="s">
        <v>149</v>
      </c>
    </row>
    <row r="21" customFormat="false" ht="15" hidden="false" customHeight="true" outlineLevel="0" collapsed="false">
      <c r="A21" s="23" t="n">
        <v>1</v>
      </c>
      <c r="B21" s="24" t="b">
        <f aca="false">A21&lt;=Inputs!$B$17</f>
        <v>1</v>
      </c>
      <c r="C21" s="25" t="n">
        <f aca="false">VLOOKUP("50",Inputs!$A$29:$K$33,2,FALSE())</f>
        <v>0.4</v>
      </c>
      <c r="D21" s="26" t="n">
        <f aca="false">IF(B21,C21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21)*(((INDEX(Inputs!$A$37:$C$37,1,1))*(Inputs!$B$25/14)*Inputs!$B$5+(4.88)*(Inputs!$B$25/14)*(Inputs!$B$10*Inputs!$B$6+(1-Inputs!$B$10)*Inputs!$B$7)+(INDEX(Inputs!$A$37:$C$37,1,3))*(Inputs!$B$25/14)*(Inputs!$B$11*Inputs!$B$9+(1-Inputs!$B$11)*Inputs!$B$8))))</f>
        <v>170.045006016964</v>
      </c>
      <c r="E21" s="25" t="n">
        <f aca="false">Inputs!$B$21</f>
        <v>0.083</v>
      </c>
      <c r="F21" s="26" t="n">
        <f aca="false">E21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21)*((INDEX(Inputs!$A$37:$C$37,1,1))*(Inputs!$B$25/14)*Inputs!$B$5+(4.88)*(Inputs!$B$25/14)*(Inputs!$B$10*Inputs!$B$6+(1-Inputs!$B$10)*Inputs!$B$7)+(INDEX(Inputs!$A$37:$C$37,1,3))*(Inputs!$B$25/14)*(Inputs!$B$11*Inputs!$B$9+(1-Inputs!$B$11)*Inputs!$B$8))</f>
        <v>215.121513888026</v>
      </c>
    </row>
    <row r="22" customFormat="false" ht="15" hidden="false" customHeight="true" outlineLevel="0" collapsed="false">
      <c r="A22" s="23" t="n">
        <v>2</v>
      </c>
      <c r="B22" s="24" t="b">
        <f aca="false">A22&lt;=Inputs!$B$17</f>
        <v>1</v>
      </c>
      <c r="C22" s="25" t="n">
        <f aca="false">IF(A22=2,C21*(1-(Inputs!$B$22)),C21)</f>
        <v>0.276</v>
      </c>
      <c r="D22" s="26" t="n">
        <f aca="false">IF(B22,C22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22)*(((INDEX(Inputs!$A$37:$C$37,1,1))*(Inputs!$B$25/14)*Inputs!$B$5+(4.88)*(Inputs!$B$25/14)*(Inputs!$B$10*Inputs!$B$6+(1-Inputs!$B$10)*Inputs!$B$7)+(INDEX(Inputs!$A$37:$C$37,1,3))*(Inputs!$B$25/14)*(Inputs!$B$11*Inputs!$B$9+(1-Inputs!$B$11)*Inputs!$B$8))))</f>
        <v>182.589217622821</v>
      </c>
      <c r="E22" s="25" t="n">
        <f aca="false">0</f>
        <v>0</v>
      </c>
      <c r="F22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3" customFormat="false" ht="15" hidden="false" customHeight="true" outlineLevel="0" collapsed="false">
      <c r="A23" s="23" t="n">
        <v>3</v>
      </c>
      <c r="B23" s="24" t="b">
        <f aca="false">A23&lt;=Inputs!$B$17</f>
        <v>1</v>
      </c>
      <c r="C23" s="25" t="n">
        <f aca="false">IF(A23=2,C22*(1-(Inputs!$B$22)),C22)</f>
        <v>0.276</v>
      </c>
      <c r="D23" s="26" t="n">
        <f aca="false">IF(B23,C23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23)*(((INDEX(Inputs!$A$37:$C$37,1,1))*(Inputs!$B$25/14)*Inputs!$B$5+(4.88)*(Inputs!$B$25/14)*(Inputs!$B$10*Inputs!$B$6+(1-Inputs!$B$10)*Inputs!$B$7)+(INDEX(Inputs!$A$37:$C$37,1,3))*(Inputs!$B$25/14)*(Inputs!$B$11*Inputs!$B$9+(1-Inputs!$B$11)*Inputs!$B$8))))</f>
        <v>182.589217622821</v>
      </c>
      <c r="E23" s="25" t="n">
        <f aca="false">0</f>
        <v>0</v>
      </c>
      <c r="F23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4" customFormat="false" ht="15" hidden="false" customHeight="true" outlineLevel="0" collapsed="false">
      <c r="A24" s="23" t="n">
        <v>4</v>
      </c>
      <c r="B24" s="24" t="b">
        <f aca="false">A24&lt;=Inputs!$B$17</f>
        <v>0</v>
      </c>
      <c r="C24" s="25" t="n">
        <f aca="false">IF(A24=2,C23*(1-(Inputs!$B$22)),C23)</f>
        <v>0.276</v>
      </c>
      <c r="D24" s="26" t="n">
        <f aca="false">IF(B24,C24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24" s="25" t="n">
        <f aca="false">0</f>
        <v>0</v>
      </c>
      <c r="F24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5" customFormat="false" ht="15" hidden="false" customHeight="true" outlineLevel="0" collapsed="false">
      <c r="A25" s="23" t="n">
        <v>5</v>
      </c>
      <c r="B25" s="24" t="b">
        <f aca="false">A25&lt;=Inputs!$B$17</f>
        <v>0</v>
      </c>
      <c r="C25" s="25" t="n">
        <f aca="false">IF(A25=2,C24*(1-(Inputs!$B$22)),C24)</f>
        <v>0.276</v>
      </c>
      <c r="D25" s="26" t="n">
        <f aca="false">IF(B25,C25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25" s="25" t="n">
        <f aca="false">0</f>
        <v>0</v>
      </c>
      <c r="F25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6" customFormat="false" ht="15" hidden="false" customHeight="true" outlineLevel="0" collapsed="false">
      <c r="A26" s="23" t="n">
        <v>6</v>
      </c>
      <c r="B26" s="24" t="b">
        <f aca="false">A26&lt;=Inputs!$B$17</f>
        <v>0</v>
      </c>
      <c r="C26" s="25" t="n">
        <f aca="false">IF(A26=2,C25*(1-(Inputs!$B$22)),C25)</f>
        <v>0.276</v>
      </c>
      <c r="D26" s="26" t="n">
        <f aca="false">IF(B26,C26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26" s="25" t="n">
        <f aca="false">0</f>
        <v>0</v>
      </c>
      <c r="F26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7" customFormat="false" ht="15" hidden="false" customHeight="true" outlineLevel="0" collapsed="false">
      <c r="A27" s="23" t="n">
        <v>7</v>
      </c>
      <c r="B27" s="24" t="b">
        <f aca="false">A27&lt;=Inputs!$B$17</f>
        <v>0</v>
      </c>
      <c r="C27" s="25" t="n">
        <f aca="false">IF(A27=2,C26*(1-(Inputs!$B$22)),C26)</f>
        <v>0.276</v>
      </c>
      <c r="D27" s="26" t="n">
        <f aca="false">IF(B27,C27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27" s="25" t="n">
        <f aca="false">0</f>
        <v>0</v>
      </c>
      <c r="F27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8" customFormat="false" ht="15" hidden="false" customHeight="true" outlineLevel="0" collapsed="false">
      <c r="A28" s="23" t="n">
        <v>8</v>
      </c>
      <c r="B28" s="24" t="b">
        <f aca="false">A28&lt;=Inputs!$B$17</f>
        <v>0</v>
      </c>
      <c r="C28" s="25" t="n">
        <f aca="false">IF(A28=2,C27*(1-(Inputs!$B$22)),C27)</f>
        <v>0.276</v>
      </c>
      <c r="D28" s="26" t="n">
        <f aca="false">IF(B28,C28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28" s="25" t="n">
        <f aca="false">0</f>
        <v>0</v>
      </c>
      <c r="F28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29" customFormat="false" ht="15" hidden="false" customHeight="true" outlineLevel="0" collapsed="false">
      <c r="A29" s="23" t="n">
        <v>9</v>
      </c>
      <c r="B29" s="24" t="b">
        <f aca="false">A29&lt;=Inputs!$B$17</f>
        <v>0</v>
      </c>
      <c r="C29" s="25" t="n">
        <f aca="false">IF(A29=2,C28*(1-(Inputs!$B$22)),C28)</f>
        <v>0.276</v>
      </c>
      <c r="D29" s="26" t="n">
        <f aca="false">IF(B29,C29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29" s="25" t="n">
        <f aca="false">0</f>
        <v>0</v>
      </c>
      <c r="F29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30" customFormat="false" ht="15" hidden="false" customHeight="true" outlineLevel="0" collapsed="false">
      <c r="A30" s="23" t="n">
        <v>10</v>
      </c>
      <c r="B30" s="24" t="b">
        <f aca="false">A30&lt;=Inputs!$B$17</f>
        <v>0</v>
      </c>
      <c r="C30" s="25" t="n">
        <f aca="false">IF(A30=2,C29*(1-(Inputs!$B$22)),C29)</f>
        <v>0.276</v>
      </c>
      <c r="D30" s="26" t="n">
        <f aca="false">IF(B30,C30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30" s="25" t="n">
        <f aca="false">0</f>
        <v>0</v>
      </c>
      <c r="F30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31" customFormat="false" ht="15" hidden="false" customHeight="true" outlineLevel="0" collapsed="false">
      <c r="A31" s="23" t="n">
        <v>11</v>
      </c>
      <c r="B31" s="24" t="b">
        <f aca="false">A31&lt;=Inputs!$B$17</f>
        <v>0</v>
      </c>
      <c r="C31" s="25" t="n">
        <f aca="false">IF(A31=2,C30*(1-(Inputs!$B$22)),C30)</f>
        <v>0.276</v>
      </c>
      <c r="D31" s="26" t="n">
        <f aca="false">IF(B31,C31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31" s="25" t="n">
        <f aca="false">0</f>
        <v>0</v>
      </c>
      <c r="F31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32" customFormat="false" ht="15" hidden="false" customHeight="true" outlineLevel="0" collapsed="false">
      <c r="A32" s="23" t="n">
        <v>12</v>
      </c>
      <c r="B32" s="24" t="b">
        <f aca="false">A32&lt;=Inputs!$B$17</f>
        <v>0</v>
      </c>
      <c r="C32" s="25" t="n">
        <f aca="false">IF(A32=2,C31*(1-(Inputs!$B$22)),C31)</f>
        <v>0.276</v>
      </c>
      <c r="D32" s="26" t="n">
        <f aca="false">IF(B32,C32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32)*(((INDEX(Inputs!$A$37:$C$37,1,1))*(Inputs!$B$25/14)*Inputs!$B$5+(4.88)*(Inputs!$B$25/14)*(Inputs!$B$10*Inputs!$B$6+(1-Inputs!$B$10)*Inputs!$B$7)+(INDEX(Inputs!$A$37:$C$37,1,3))*(Inputs!$B$25/14)*(Inputs!$B$11*Inputs!$B$9+(1-Inputs!$B$11)*Inputs!$B$8))))</f>
        <v>250.359309906525</v>
      </c>
      <c r="E32" s="25" t="n">
        <f aca="false">0</f>
        <v>0</v>
      </c>
      <c r="F32" s="26" t="n">
        <f aca="false">((INDEX(Inputs!$A$37:$C$37,1,1))*(Inputs!$B$25/14)*Inputs!$B$5+(4.88)*(Inputs!$B$25/14)*(Inputs!$B$10*Inputs!$B$6+(1-Inputs!$B$10)*Inputs!$B$7)+(INDEX(Inputs!$A$37:$C$37,1,3))*(Inputs!$B$25/14)*(Inputs!$B$11*Inputs!$B$9+(1-Inputs!$B$11)*Inputs!$B$8))</f>
        <v>224.695415082143</v>
      </c>
    </row>
    <row r="33" customFormat="false" ht="15" hidden="false" customHeight="true" outlineLevel="0" collapsed="false">
      <c r="A33" s="27" t="s">
        <v>201</v>
      </c>
      <c r="D33" s="29" t="n">
        <f aca="false">SUM(D21:D32)-SUM(F21:F32)</f>
        <v>101.686150629735</v>
      </c>
    </row>
    <row r="35" customFormat="false" ht="15" hidden="false" customHeight="true" outlineLevel="0" collapsed="false">
      <c r="A35" s="27" t="s">
        <v>202</v>
      </c>
    </row>
    <row r="36" customFormat="false" ht="21.75" hidden="false" customHeight="true" outlineLevel="0" collapsed="false">
      <c r="A36" s="43" t="s">
        <v>92</v>
      </c>
      <c r="B36" s="43" t="s">
        <v>145</v>
      </c>
      <c r="C36" s="43" t="s">
        <v>146</v>
      </c>
      <c r="D36" s="43" t="s">
        <v>147</v>
      </c>
      <c r="E36" s="43" t="s">
        <v>148</v>
      </c>
      <c r="F36" s="43" t="s">
        <v>149</v>
      </c>
    </row>
    <row r="37" customFormat="false" ht="15" hidden="false" customHeight="true" outlineLevel="0" collapsed="false">
      <c r="A37" s="23" t="n">
        <v>1</v>
      </c>
      <c r="B37" s="24" t="b">
        <f aca="false">A37&lt;=Inputs!$B$17</f>
        <v>1</v>
      </c>
      <c r="C37" s="25" t="n">
        <f aca="false">VLOOKUP("50",Inputs!$A$29:$K$33,2,FALSE())</f>
        <v>0.4</v>
      </c>
      <c r="D37" s="26" t="n">
        <f aca="false">IF(B37,C37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37)*(((INDEX(Inputs!$A$37:$C$37,1,1))*(Inputs!$B$25/14)*Inputs!$B$5+(10.67)*(Inputs!$B$25/14)*(Inputs!$B$10*Inputs!$B$6+(1-Inputs!$B$10)*Inputs!$B$7)+(INDEX(Inputs!$A$37:$C$37,1,3))*(Inputs!$B$25/14)*(Inputs!$B$11*Inputs!$B$9+(1-Inputs!$B$11)*Inputs!$B$8))))</f>
        <v>170.045006016964</v>
      </c>
      <c r="E37" s="25" t="n">
        <f aca="false">Inputs!$B$21</f>
        <v>0.083</v>
      </c>
      <c r="F37" s="26" t="n">
        <f aca="false">E37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37)*((INDEX(Inputs!$A$37:$C$37,1,1))*(Inputs!$B$25/14)*Inputs!$B$5+(10.67)*(Inputs!$B$25/14)*(Inputs!$B$10*Inputs!$B$6+(1-Inputs!$B$10)*Inputs!$B$7)+(INDEX(Inputs!$A$37:$C$37,1,3))*(Inputs!$B$25/14)*(Inputs!$B$11*Inputs!$B$9+(1-Inputs!$B$11)*Inputs!$B$8))</f>
        <v>423.649411033048</v>
      </c>
    </row>
    <row r="38" customFormat="false" ht="15" hidden="false" customHeight="true" outlineLevel="0" collapsed="false">
      <c r="A38" s="23" t="n">
        <v>2</v>
      </c>
      <c r="B38" s="24" t="b">
        <f aca="false">A38&lt;=Inputs!$B$17</f>
        <v>1</v>
      </c>
      <c r="C38" s="25" t="n">
        <f aca="false">IF(A38=2,C37*(1-(Inputs!$B$22)),C37)</f>
        <v>0.276</v>
      </c>
      <c r="D38" s="26" t="n">
        <f aca="false">IF(B38,C38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38)*(((INDEX(Inputs!$A$37:$C$37,1,1))*(Inputs!$B$25/14)*Inputs!$B$5+(10.67)*(Inputs!$B$25/14)*(Inputs!$B$10*Inputs!$B$6+(1-Inputs!$B$10)*Inputs!$B$7)+(INDEX(Inputs!$A$37:$C$37,1,3))*(Inputs!$B$25/14)*(Inputs!$B$11*Inputs!$B$9+(1-Inputs!$B$11)*Inputs!$B$8))))</f>
        <v>182.589217622821</v>
      </c>
      <c r="E38" s="25" t="n">
        <f aca="false">0</f>
        <v>0</v>
      </c>
      <c r="F38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39" customFormat="false" ht="15" hidden="false" customHeight="true" outlineLevel="0" collapsed="false">
      <c r="A39" s="23" t="n">
        <v>3</v>
      </c>
      <c r="B39" s="24" t="b">
        <f aca="false">A39&lt;=Inputs!$B$17</f>
        <v>1</v>
      </c>
      <c r="C39" s="25" t="n">
        <f aca="false">IF(A39=2,C38*(1-(Inputs!$B$22)),C38)</f>
        <v>0.276</v>
      </c>
      <c r="D39" s="26" t="n">
        <f aca="false">IF(B39,C39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39)*(((INDEX(Inputs!$A$37:$C$37,1,1))*(Inputs!$B$25/14)*Inputs!$B$5+(10.67)*(Inputs!$B$25/14)*(Inputs!$B$10*Inputs!$B$6+(1-Inputs!$B$10)*Inputs!$B$7)+(INDEX(Inputs!$A$37:$C$37,1,3))*(Inputs!$B$25/14)*(Inputs!$B$11*Inputs!$B$9+(1-Inputs!$B$11)*Inputs!$B$8))))</f>
        <v>182.589217622821</v>
      </c>
      <c r="E39" s="25" t="n">
        <f aca="false">0</f>
        <v>0</v>
      </c>
      <c r="F39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0" customFormat="false" ht="15" hidden="false" customHeight="true" outlineLevel="0" collapsed="false">
      <c r="A40" s="23" t="n">
        <v>4</v>
      </c>
      <c r="B40" s="24" t="b">
        <f aca="false">A40&lt;=Inputs!$B$17</f>
        <v>0</v>
      </c>
      <c r="C40" s="25" t="n">
        <f aca="false">IF(A40=2,C39*(1-(Inputs!$B$22)),C39)</f>
        <v>0.276</v>
      </c>
      <c r="D40" s="26" t="n">
        <f aca="false">IF(B40,C40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40)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0" s="25" t="n">
        <f aca="false">0</f>
        <v>0</v>
      </c>
      <c r="F40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1" customFormat="false" ht="15" hidden="false" customHeight="true" outlineLevel="0" collapsed="false">
      <c r="A41" s="23" t="n">
        <v>5</v>
      </c>
      <c r="B41" s="24" t="b">
        <f aca="false">A41&lt;=Inputs!$B$17</f>
        <v>0</v>
      </c>
      <c r="C41" s="25" t="n">
        <f aca="false">IF(A41=2,C40*(1-(Inputs!$B$22)),C40)</f>
        <v>0.276</v>
      </c>
      <c r="D41" s="26" t="n">
        <f aca="false">IF(B41,C41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41)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1" s="25" t="n">
        <f aca="false">0</f>
        <v>0</v>
      </c>
      <c r="F41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2" customFormat="false" ht="15" hidden="false" customHeight="true" outlineLevel="0" collapsed="false">
      <c r="A42" s="23" t="n">
        <v>6</v>
      </c>
      <c r="B42" s="24" t="b">
        <f aca="false">A42&lt;=Inputs!$B$17</f>
        <v>0</v>
      </c>
      <c r="C42" s="25" t="n">
        <f aca="false">IF(A42=2,C41*(1-(Inputs!$B$22)),C41)</f>
        <v>0.276</v>
      </c>
      <c r="D42" s="26" t="n">
        <f aca="false">IF(B42,C42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42)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2" s="25" t="n">
        <f aca="false">0</f>
        <v>0</v>
      </c>
      <c r="F42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3" customFormat="false" ht="15" hidden="false" customHeight="true" outlineLevel="0" collapsed="false">
      <c r="A43" s="23" t="n">
        <v>7</v>
      </c>
      <c r="B43" s="24" t="b">
        <f aca="false">A43&lt;=Inputs!$B$17</f>
        <v>0</v>
      </c>
      <c r="C43" s="25" t="n">
        <f aca="false">IF(A43=2,C42*(1-(Inputs!$B$22)),C42)</f>
        <v>0.276</v>
      </c>
      <c r="D43" s="26" t="n">
        <f aca="false">IF(B43,C43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43)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3" s="25" t="n">
        <f aca="false">0</f>
        <v>0</v>
      </c>
      <c r="F43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4" customFormat="false" ht="15" hidden="false" customHeight="true" outlineLevel="0" collapsed="false">
      <c r="A44" s="23" t="n">
        <v>8</v>
      </c>
      <c r="B44" s="24" t="b">
        <f aca="false">A44&lt;=Inputs!$B$17</f>
        <v>0</v>
      </c>
      <c r="C44" s="25" t="n">
        <f aca="false">IF(A44=2,C43*(1-(Inputs!$B$22)),C43)</f>
        <v>0.276</v>
      </c>
      <c r="D44" s="26" t="n">
        <f aca="false">IF(B44,C44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44)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4" s="25" t="n">
        <f aca="false">0</f>
        <v>0</v>
      </c>
      <c r="F44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5" customFormat="false" ht="15" hidden="false" customHeight="true" outlineLevel="0" collapsed="false">
      <c r="A45" s="23" t="n">
        <v>9</v>
      </c>
      <c r="B45" s="24" t="b">
        <f aca="false">A45&lt;=Inputs!$B$17</f>
        <v>0</v>
      </c>
      <c r="C45" s="25" t="n">
        <f aca="false">IF(A45=2,C44*(1-(Inputs!$B$22)),C44)</f>
        <v>0.276</v>
      </c>
      <c r="D45" s="26" t="n">
        <f aca="false">IF(B45,C45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45)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5" s="25" t="n">
        <f aca="false">0</f>
        <v>0</v>
      </c>
      <c r="F45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6" customFormat="false" ht="15" hidden="false" customHeight="true" outlineLevel="0" collapsed="false">
      <c r="A46" s="23" t="n">
        <v>10</v>
      </c>
      <c r="B46" s="24" t="b">
        <f aca="false">A46&lt;=Inputs!$B$17</f>
        <v>0</v>
      </c>
      <c r="C46" s="25" t="n">
        <f aca="false">IF(A46=2,C45*(1-(Inputs!$B$22)),C45)</f>
        <v>0.276</v>
      </c>
      <c r="D46" s="26" t="n">
        <f aca="false">IF(B46,C46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46)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6" s="25" t="n">
        <f aca="false">0</f>
        <v>0</v>
      </c>
      <c r="F46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7" customFormat="false" ht="15" hidden="false" customHeight="true" outlineLevel="0" collapsed="false">
      <c r="A47" s="23" t="n">
        <v>11</v>
      </c>
      <c r="B47" s="24" t="b">
        <f aca="false">A47&lt;=Inputs!$B$17</f>
        <v>0</v>
      </c>
      <c r="C47" s="25" t="n">
        <f aca="false">IF(A47=2,C46*(1-(Inputs!$B$22)),C46)</f>
        <v>0.276</v>
      </c>
      <c r="D47" s="26" t="n">
        <f aca="false">IF(B47,C47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47)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7" s="25" t="n">
        <f aca="false">0</f>
        <v>0</v>
      </c>
      <c r="F47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8" customFormat="false" ht="15" hidden="false" customHeight="true" outlineLevel="0" collapsed="false">
      <c r="A48" s="23" t="n">
        <v>12</v>
      </c>
      <c r="B48" s="24" t="b">
        <f aca="false">A48&lt;=Inputs!$B$17</f>
        <v>0</v>
      </c>
      <c r="C48" s="25" t="n">
        <f aca="false">IF(A48=2,C47*(1-(Inputs!$B$22)),C47)</f>
        <v>0.276</v>
      </c>
      <c r="D48" s="26" t="n">
        <f aca="false">IF(B48,C48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48)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48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48)*(((INDEX(Inputs!$A$37:$C$37,1,1))*(Inputs!$B$25/14)*Inputs!$B$5+(10.67)*(Inputs!$B$25/14)*(Inputs!$B$10*Inputs!$B$6+(1-Inputs!$B$10)*Inputs!$B$7)+(INDEX(Inputs!$A$37:$C$37,1,3))*(Inputs!$B$25/14)*(Inputs!$B$11*Inputs!$B$9+(1-Inputs!$B$11)*Inputs!$B$8))))</f>
        <v>414.998565667698</v>
      </c>
      <c r="E48" s="25" t="n">
        <f aca="false">0</f>
        <v>0</v>
      </c>
      <c r="F48" s="26" t="n">
        <f aca="false">((INDEX(Inputs!$A$37:$C$37,1,1))*(Inputs!$B$25/14)*Inputs!$B$5+(10.67)*(Inputs!$B$25/14)*(Inputs!$B$10*Inputs!$B$6+(1-Inputs!$B$10)*Inputs!$B$7)+(INDEX(Inputs!$A$37:$C$37,1,3))*(Inputs!$B$25/14)*(Inputs!$B$11*Inputs!$B$9+(1-Inputs!$B$11)*Inputs!$B$8))</f>
        <v>452.097702045089</v>
      </c>
    </row>
    <row r="49" customFormat="false" ht="15" hidden="false" customHeight="true" outlineLevel="0" collapsed="false">
      <c r="A49" s="27" t="s">
        <v>201</v>
      </c>
      <c r="D49" s="29" t="n">
        <f aca="false">SUM(D37:D48)-SUM(F37:F48)</f>
        <v>-1126.51360125714</v>
      </c>
    </row>
    <row r="51" customFormat="false" ht="15" hidden="false" customHeight="true" outlineLevel="0" collapsed="false">
      <c r="A51" s="27" t="s">
        <v>203</v>
      </c>
    </row>
    <row r="52" customFormat="false" ht="21.75" hidden="false" customHeight="true" outlineLevel="0" collapsed="false">
      <c r="A52" s="43" t="s">
        <v>92</v>
      </c>
      <c r="B52" s="43" t="s">
        <v>145</v>
      </c>
      <c r="C52" s="43" t="s">
        <v>146</v>
      </c>
      <c r="D52" s="43" t="s">
        <v>147</v>
      </c>
      <c r="E52" s="43" t="s">
        <v>148</v>
      </c>
      <c r="F52" s="43" t="s">
        <v>149</v>
      </c>
    </row>
    <row r="53" customFormat="false" ht="15" hidden="false" customHeight="true" outlineLevel="0" collapsed="false">
      <c r="A53" s="23" t="n">
        <v>1</v>
      </c>
      <c r="B53" s="24" t="b">
        <f aca="false">A53&lt;=Inputs!$B$17</f>
        <v>1</v>
      </c>
      <c r="C53" s="25" t="n">
        <f aca="false">VLOOKUP("50",Inputs!$A$29:$K$33,2,FALSE())</f>
        <v>0.4</v>
      </c>
      <c r="D53" s="26" t="n">
        <f aca="false">IF(B53,C53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53)*((VLOOKUP("50",Inputs!$A$29:$K$33,6,FALSE()))*(Inputs!$B$25/14)*Inputs!$B$5+(1)*(Inputs!$B$25/14)*(Inputs!$B$10*Inputs!$B$6+(1-Inputs!$B$10)*Inputs!$B$7)+(VLOOKUP("50",Inputs!$A$29:$K$33,8,FALSE()))*(Inputs!$B$25/14)*(Inputs!$B$11*Inputs!$B$9+(1-Inputs!$B$11)*Inputs!$B$8)),C53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96.9934941428571</v>
      </c>
      <c r="E53" s="25" t="n">
        <f aca="false">Inputs!$B$21</f>
        <v>0.083</v>
      </c>
      <c r="F53" s="26" t="n">
        <f aca="false">E53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53)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54" customFormat="false" ht="15" hidden="false" customHeight="true" outlineLevel="0" collapsed="false">
      <c r="A54" s="23" t="n">
        <v>2</v>
      </c>
      <c r="B54" s="24" t="b">
        <f aca="false">A54&lt;=Inputs!$B$17</f>
        <v>1</v>
      </c>
      <c r="C54" s="25" t="n">
        <f aca="false">IF(A54=2,C53*(1-(Inputs!$B$22)),C53)</f>
        <v>0.276</v>
      </c>
      <c r="D54" s="26" t="n">
        <f aca="false">IF(B54,C54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54)*((VLOOKUP("50",Inputs!$A$29:$K$33,6,FALSE()))*(Inputs!$B$25/14)*Inputs!$B$5+(1)*(Inputs!$B$25/14)*(Inputs!$B$10*Inputs!$B$6+(1-Inputs!$B$10)*Inputs!$B$7)+(VLOOKUP("50",Inputs!$A$29:$K$33,8,FALSE()))*(Inputs!$B$25/14)*(Inputs!$B$11*Inputs!$B$9+(1-Inputs!$B$11)*Inputs!$B$8)),C54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94.4403932947321</v>
      </c>
      <c r="E54" s="25" t="n">
        <f aca="false">0</f>
        <v>0</v>
      </c>
      <c r="F5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55" customFormat="false" ht="15" hidden="false" customHeight="true" outlineLevel="0" collapsed="false">
      <c r="A55" s="23" t="n">
        <v>3</v>
      </c>
      <c r="B55" s="24" t="b">
        <f aca="false">A55&lt;=Inputs!$B$17</f>
        <v>1</v>
      </c>
      <c r="C55" s="25" t="n">
        <f aca="false">IF(A55=2,C54*(1-(Inputs!$B$22)),C54)</f>
        <v>0.276</v>
      </c>
      <c r="D55" s="26" t="n">
        <f aca="false">IF(B55,C55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55)*((VLOOKUP("50",Inputs!$A$29:$K$33,6,FALSE()))*(Inputs!$B$25/14)*Inputs!$B$5+(1)*(Inputs!$B$25/14)*(Inputs!$B$10*Inputs!$B$6+(1-Inputs!$B$10)*Inputs!$B$7)+(VLOOKUP("50",Inputs!$A$29:$K$33,8,FALSE()))*(Inputs!$B$25/14)*(Inputs!$B$11*Inputs!$B$9+(1-Inputs!$B$11)*Inputs!$B$8)),C55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94.4403932947321</v>
      </c>
      <c r="E55" s="25" t="n">
        <f aca="false">0</f>
        <v>0</v>
      </c>
      <c r="F5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56" customFormat="false" ht="15" hidden="false" customHeight="true" outlineLevel="0" collapsed="false">
      <c r="A56" s="23" t="n">
        <v>4</v>
      </c>
      <c r="B56" s="24" t="b">
        <f aca="false">A56&lt;=Inputs!$B$17</f>
        <v>0</v>
      </c>
      <c r="C56" s="25" t="n">
        <f aca="false">IF(A56=2,C55*(1-(Inputs!$B$22)),C55)</f>
        <v>0.276</v>
      </c>
      <c r="D56" s="26" t="n">
        <f aca="false">IF(B56,C56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56)*((VLOOKUP("50",Inputs!$A$29:$K$33,6,FALSE()))*(Inputs!$B$25/14)*Inputs!$B$5+(1)*(Inputs!$B$25/14)*(Inputs!$B$10*Inputs!$B$6+(1-Inputs!$B$10)*Inputs!$B$7)+(VLOOKUP("50",Inputs!$A$29:$K$33,8,FALSE()))*(Inputs!$B$25/14)*(Inputs!$B$11*Inputs!$B$9+(1-Inputs!$B$11)*Inputs!$B$8)),C56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56" s="25" t="n">
        <f aca="false">0</f>
        <v>0</v>
      </c>
      <c r="F5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57" customFormat="false" ht="15" hidden="false" customHeight="true" outlineLevel="0" collapsed="false">
      <c r="A57" s="23" t="n">
        <v>5</v>
      </c>
      <c r="B57" s="24" t="b">
        <f aca="false">A57&lt;=Inputs!$B$17</f>
        <v>0</v>
      </c>
      <c r="C57" s="25" t="n">
        <f aca="false">IF(A57=2,C56*(1-(Inputs!$B$22)),C56)</f>
        <v>0.276</v>
      </c>
      <c r="D57" s="26" t="n">
        <f aca="false">IF(B57,C57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57)*((VLOOKUP("50",Inputs!$A$29:$K$33,6,FALSE()))*(Inputs!$B$25/14)*Inputs!$B$5+(1)*(Inputs!$B$25/14)*(Inputs!$B$10*Inputs!$B$6+(1-Inputs!$B$10)*Inputs!$B$7)+(VLOOKUP("50",Inputs!$A$29:$K$33,8,FALSE()))*(Inputs!$B$25/14)*(Inputs!$B$11*Inputs!$B$9+(1-Inputs!$B$11)*Inputs!$B$8)),C57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57" s="25" t="n">
        <f aca="false">0</f>
        <v>0</v>
      </c>
      <c r="F5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58" customFormat="false" ht="15" hidden="false" customHeight="true" outlineLevel="0" collapsed="false">
      <c r="A58" s="23" t="n">
        <v>6</v>
      </c>
      <c r="B58" s="24" t="b">
        <f aca="false">A58&lt;=Inputs!$B$17</f>
        <v>0</v>
      </c>
      <c r="C58" s="25" t="n">
        <f aca="false">IF(A58=2,C57*(1-(Inputs!$B$22)),C57)</f>
        <v>0.276</v>
      </c>
      <c r="D58" s="26" t="n">
        <f aca="false">IF(B58,C58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58)*((VLOOKUP("50",Inputs!$A$29:$K$33,6,FALSE()))*(Inputs!$B$25/14)*Inputs!$B$5+(1)*(Inputs!$B$25/14)*(Inputs!$B$10*Inputs!$B$6+(1-Inputs!$B$10)*Inputs!$B$7)+(VLOOKUP("50",Inputs!$A$29:$K$33,8,FALSE()))*(Inputs!$B$25/14)*(Inputs!$B$11*Inputs!$B$9+(1-Inputs!$B$11)*Inputs!$B$8)),C58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58" s="25" t="n">
        <f aca="false">0</f>
        <v>0</v>
      </c>
      <c r="F5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59" customFormat="false" ht="15" hidden="false" customHeight="true" outlineLevel="0" collapsed="false">
      <c r="A59" s="23" t="n">
        <v>7</v>
      </c>
      <c r="B59" s="24" t="b">
        <f aca="false">A59&lt;=Inputs!$B$17</f>
        <v>0</v>
      </c>
      <c r="C59" s="25" t="n">
        <f aca="false">IF(A59=2,C58*(1-(Inputs!$B$22)),C58)</f>
        <v>0.276</v>
      </c>
      <c r="D59" s="26" t="n">
        <f aca="false">IF(B59,C59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59)*((VLOOKUP("50",Inputs!$A$29:$K$33,6,FALSE()))*(Inputs!$B$25/14)*Inputs!$B$5+(1)*(Inputs!$B$25/14)*(Inputs!$B$10*Inputs!$B$6+(1-Inputs!$B$10)*Inputs!$B$7)+(VLOOKUP("50",Inputs!$A$29:$K$33,8,FALSE()))*(Inputs!$B$25/14)*(Inputs!$B$11*Inputs!$B$9+(1-Inputs!$B$11)*Inputs!$B$8)),C59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59)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59" s="25" t="n">
        <f aca="false">0</f>
        <v>0</v>
      </c>
      <c r="F5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60" customFormat="false" ht="15" hidden="false" customHeight="true" outlineLevel="0" collapsed="false">
      <c r="A60" s="23" t="n">
        <v>8</v>
      </c>
      <c r="B60" s="24" t="b">
        <f aca="false">A60&lt;=Inputs!$B$17</f>
        <v>0</v>
      </c>
      <c r="C60" s="25" t="n">
        <f aca="false">IF(A60=2,C59*(1-(Inputs!$B$22)),C59)</f>
        <v>0.276</v>
      </c>
      <c r="D60" s="26" t="n">
        <f aca="false">IF(B60,C60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60)*((VLOOKUP("50",Inputs!$A$29:$K$33,6,FALSE()))*(Inputs!$B$25/14)*Inputs!$B$5+(1)*(Inputs!$B$25/14)*(Inputs!$B$10*Inputs!$B$6+(1-Inputs!$B$10)*Inputs!$B$7)+(VLOOKUP("50",Inputs!$A$29:$K$33,8,FALSE()))*(Inputs!$B$25/14)*(Inputs!$B$11*Inputs!$B$9+(1-Inputs!$B$11)*Inputs!$B$8)),C60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60)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60" s="25" t="n">
        <f aca="false">0</f>
        <v>0</v>
      </c>
      <c r="F6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61" customFormat="false" ht="15" hidden="false" customHeight="true" outlineLevel="0" collapsed="false">
      <c r="A61" s="23" t="n">
        <v>9</v>
      </c>
      <c r="B61" s="24" t="b">
        <f aca="false">A61&lt;=Inputs!$B$17</f>
        <v>0</v>
      </c>
      <c r="C61" s="25" t="n">
        <f aca="false">IF(A61=2,C60*(1-(Inputs!$B$22)),C60)</f>
        <v>0.276</v>
      </c>
      <c r="D61" s="26" t="n">
        <f aca="false">IF(B61,C61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61)*((VLOOKUP("50",Inputs!$A$29:$K$33,6,FALSE()))*(Inputs!$B$25/14)*Inputs!$B$5+(1)*(Inputs!$B$25/14)*(Inputs!$B$10*Inputs!$B$6+(1-Inputs!$B$10)*Inputs!$B$7)+(VLOOKUP("50",Inputs!$A$29:$K$33,8,FALSE()))*(Inputs!$B$25/14)*(Inputs!$B$11*Inputs!$B$9+(1-Inputs!$B$11)*Inputs!$B$8)),C61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61)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61" s="25" t="n">
        <f aca="false">0</f>
        <v>0</v>
      </c>
      <c r="F6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62" customFormat="false" ht="15" hidden="false" customHeight="true" outlineLevel="0" collapsed="false">
      <c r="A62" s="23" t="n">
        <v>10</v>
      </c>
      <c r="B62" s="24" t="b">
        <f aca="false">A62&lt;=Inputs!$B$17</f>
        <v>0</v>
      </c>
      <c r="C62" s="25" t="n">
        <f aca="false">IF(A62=2,C61*(1-(Inputs!$B$22)),C61)</f>
        <v>0.276</v>
      </c>
      <c r="D62" s="26" t="n">
        <f aca="false">IF(B62,C62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62)*((VLOOKUP("50",Inputs!$A$29:$K$33,6,FALSE()))*(Inputs!$B$25/14)*Inputs!$B$5+(1)*(Inputs!$B$25/14)*(Inputs!$B$10*Inputs!$B$6+(1-Inputs!$B$10)*Inputs!$B$7)+(VLOOKUP("50",Inputs!$A$29:$K$33,8,FALSE()))*(Inputs!$B$25/14)*(Inputs!$B$11*Inputs!$B$9+(1-Inputs!$B$11)*Inputs!$B$8)),C62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62)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62" s="25" t="n">
        <f aca="false">0</f>
        <v>0</v>
      </c>
      <c r="F6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63" customFormat="false" ht="15" hidden="false" customHeight="true" outlineLevel="0" collapsed="false">
      <c r="A63" s="23" t="n">
        <v>11</v>
      </c>
      <c r="B63" s="24" t="b">
        <f aca="false">A63&lt;=Inputs!$B$17</f>
        <v>0</v>
      </c>
      <c r="C63" s="25" t="n">
        <f aca="false">IF(A63=2,C62*(1-(Inputs!$B$22)),C62)</f>
        <v>0.276</v>
      </c>
      <c r="D63" s="26" t="n">
        <f aca="false">IF(B63,C63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63)*((VLOOKUP("50",Inputs!$A$29:$K$33,6,FALSE()))*(Inputs!$B$25/14)*Inputs!$B$5+(1)*(Inputs!$B$25/14)*(Inputs!$B$10*Inputs!$B$6+(1-Inputs!$B$10)*Inputs!$B$7)+(VLOOKUP("50",Inputs!$A$29:$K$33,8,FALSE()))*(Inputs!$B$25/14)*(Inputs!$B$11*Inputs!$B$9+(1-Inputs!$B$11)*Inputs!$B$8)),C63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63)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63" s="25" t="n">
        <f aca="false">0</f>
        <v>0</v>
      </c>
      <c r="F6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64" customFormat="false" ht="15" hidden="false" customHeight="true" outlineLevel="0" collapsed="false">
      <c r="A64" s="23" t="n">
        <v>12</v>
      </c>
      <c r="B64" s="24" t="b">
        <f aca="false">A64&lt;=Inputs!$B$17</f>
        <v>0</v>
      </c>
      <c r="C64" s="25" t="n">
        <f aca="false">IF(A64=2,C63*(1-(Inputs!$B$22)),C63)</f>
        <v>0.276</v>
      </c>
      <c r="D64" s="26" t="n">
        <f aca="false">IF(B64,C64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64)*((VLOOKUP("50",Inputs!$A$29:$K$33,6,FALSE()))*(Inputs!$B$25/14)*Inputs!$B$5+(1)*(Inputs!$B$25/14)*(Inputs!$B$10*Inputs!$B$6+(1-Inputs!$B$10)*Inputs!$B$7)+(VLOOKUP("50",Inputs!$A$29:$K$33,8,FALSE()))*(Inputs!$B$25/14)*(Inputs!$B$11*Inputs!$B$9+(1-Inputs!$B$11)*Inputs!$B$8)),C64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64)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64" s="25" t="n">
        <f aca="false">0</f>
        <v>0</v>
      </c>
      <c r="F6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65" customFormat="false" ht="15" hidden="false" customHeight="true" outlineLevel="0" collapsed="false">
      <c r="A65" s="27" t="s">
        <v>201</v>
      </c>
      <c r="D65" s="29" t="n">
        <f aca="false">SUM(D53:D64)-SUM(F53:F64)</f>
        <v>-703.428700737099</v>
      </c>
    </row>
    <row r="67" customFormat="false" ht="15" hidden="false" customHeight="true" outlineLevel="0" collapsed="false">
      <c r="A67" s="27" t="s">
        <v>204</v>
      </c>
    </row>
    <row r="68" customFormat="false" ht="21.75" hidden="false" customHeight="true" outlineLevel="0" collapsed="false">
      <c r="A68" s="43" t="s">
        <v>92</v>
      </c>
      <c r="B68" s="43" t="s">
        <v>145</v>
      </c>
      <c r="C68" s="43" t="s">
        <v>146</v>
      </c>
      <c r="D68" s="43" t="s">
        <v>147</v>
      </c>
      <c r="E68" s="43" t="s">
        <v>148</v>
      </c>
      <c r="F68" s="43" t="s">
        <v>149</v>
      </c>
    </row>
    <row r="69" customFormat="false" ht="15" hidden="false" customHeight="true" outlineLevel="0" collapsed="false">
      <c r="A69" s="23" t="n">
        <v>1</v>
      </c>
      <c r="B69" s="24" t="b">
        <f aca="false">A69&lt;=Inputs!$B$17</f>
        <v>1</v>
      </c>
      <c r="C69" s="25" t="n">
        <f aca="false">VLOOKUP("50",Inputs!$A$29:$K$33,2,FALSE())</f>
        <v>0.4</v>
      </c>
      <c r="D69" s="26" t="n">
        <f aca="false">IF(B69,C69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69)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69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69)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293.289976049732</v>
      </c>
      <c r="E69" s="25" t="n">
        <f aca="false">Inputs!$B$21</f>
        <v>0.083</v>
      </c>
      <c r="F69" s="26" t="n">
        <f aca="false">E69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69)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70" customFormat="false" ht="15" hidden="false" customHeight="true" outlineLevel="0" collapsed="false">
      <c r="A70" s="23" t="n">
        <v>2</v>
      </c>
      <c r="B70" s="24" t="b">
        <f aca="false">A70&lt;=Inputs!$B$17</f>
        <v>1</v>
      </c>
      <c r="C70" s="25" t="n">
        <f aca="false">IF(A70=2,C69*(1-(Inputs!$B$22)),C69)</f>
        <v>0.276</v>
      </c>
      <c r="D70" s="26" t="n">
        <f aca="false">IF(B70,C70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70)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331.304814795695</v>
      </c>
      <c r="E70" s="25" t="n">
        <f aca="false">0</f>
        <v>0</v>
      </c>
      <c r="F7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1" customFormat="false" ht="15" hidden="false" customHeight="true" outlineLevel="0" collapsed="false">
      <c r="A71" s="23" t="n">
        <v>3</v>
      </c>
      <c r="B71" s="24" t="b">
        <f aca="false">A71&lt;=Inputs!$B$17</f>
        <v>1</v>
      </c>
      <c r="C71" s="25" t="n">
        <f aca="false">IF(A71=2,C70*(1-(Inputs!$B$22)),C70)</f>
        <v>0.276</v>
      </c>
      <c r="D71" s="26" t="n">
        <f aca="false">IF(B71,C71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71)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331.304814795695</v>
      </c>
      <c r="E71" s="25" t="n">
        <f aca="false">0</f>
        <v>0</v>
      </c>
      <c r="F7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2" customFormat="false" ht="15" hidden="false" customHeight="true" outlineLevel="0" collapsed="false">
      <c r="A72" s="23" t="n">
        <v>4</v>
      </c>
      <c r="B72" s="24" t="b">
        <f aca="false">A72&lt;=Inputs!$B$17</f>
        <v>0</v>
      </c>
      <c r="C72" s="25" t="n">
        <f aca="false">IF(A72=2,C71*(1-(Inputs!$B$22)),C71)</f>
        <v>0.276</v>
      </c>
      <c r="D72" s="26" t="n">
        <f aca="false">IF(B72,C72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72)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2" s="25" t="n">
        <f aca="false">0</f>
        <v>0</v>
      </c>
      <c r="F7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3" customFormat="false" ht="15" hidden="false" customHeight="true" outlineLevel="0" collapsed="false">
      <c r="A73" s="23" t="n">
        <v>5</v>
      </c>
      <c r="B73" s="24" t="b">
        <f aca="false">A73&lt;=Inputs!$B$17</f>
        <v>0</v>
      </c>
      <c r="C73" s="25" t="n">
        <f aca="false">IF(A73=2,C72*(1-(Inputs!$B$22)),C72)</f>
        <v>0.276</v>
      </c>
      <c r="D73" s="26" t="n">
        <f aca="false">IF(B73,C73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73)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3" s="25" t="n">
        <f aca="false">0</f>
        <v>0</v>
      </c>
      <c r="F7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4" customFormat="false" ht="15" hidden="false" customHeight="true" outlineLevel="0" collapsed="false">
      <c r="A74" s="23" t="n">
        <v>6</v>
      </c>
      <c r="B74" s="24" t="b">
        <f aca="false">A74&lt;=Inputs!$B$17</f>
        <v>0</v>
      </c>
      <c r="C74" s="25" t="n">
        <f aca="false">IF(A74=2,C73*(1-(Inputs!$B$22)),C73)</f>
        <v>0.276</v>
      </c>
      <c r="D74" s="26" t="n">
        <f aca="false">IF(B74,C74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74)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4" s="25" t="n">
        <f aca="false">0</f>
        <v>0</v>
      </c>
      <c r="F7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5" customFormat="false" ht="15" hidden="false" customHeight="true" outlineLevel="0" collapsed="false">
      <c r="A75" s="23" t="n">
        <v>7</v>
      </c>
      <c r="B75" s="24" t="b">
        <f aca="false">A75&lt;=Inputs!$B$17</f>
        <v>0</v>
      </c>
      <c r="C75" s="25" t="n">
        <f aca="false">IF(A75=2,C74*(1-(Inputs!$B$22)),C74)</f>
        <v>0.276</v>
      </c>
      <c r="D75" s="26" t="n">
        <f aca="false">IF(B75,C75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75)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5" s="25" t="n">
        <f aca="false">0</f>
        <v>0</v>
      </c>
      <c r="F7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6" customFormat="false" ht="15" hidden="false" customHeight="true" outlineLevel="0" collapsed="false">
      <c r="A76" s="23" t="n">
        <v>8</v>
      </c>
      <c r="B76" s="24" t="b">
        <f aca="false">A76&lt;=Inputs!$B$17</f>
        <v>0</v>
      </c>
      <c r="C76" s="25" t="n">
        <f aca="false">IF(A76=2,C75*(1-(Inputs!$B$22)),C75)</f>
        <v>0.276</v>
      </c>
      <c r="D76" s="26" t="n">
        <f aca="false">IF(B76,C76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76)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6" s="25" t="n">
        <f aca="false">0</f>
        <v>0</v>
      </c>
      <c r="F7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7" customFormat="false" ht="15" hidden="false" customHeight="true" outlineLevel="0" collapsed="false">
      <c r="A77" s="23" t="n">
        <v>9</v>
      </c>
      <c r="B77" s="24" t="b">
        <f aca="false">A77&lt;=Inputs!$B$17</f>
        <v>0</v>
      </c>
      <c r="C77" s="25" t="n">
        <f aca="false">IF(A77=2,C76*(1-(Inputs!$B$22)),C76)</f>
        <v>0.276</v>
      </c>
      <c r="D77" s="26" t="n">
        <f aca="false">IF(B77,C77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77)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7" s="25" t="n">
        <f aca="false">0</f>
        <v>0</v>
      </c>
      <c r="F7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8" customFormat="false" ht="15" hidden="false" customHeight="true" outlineLevel="0" collapsed="false">
      <c r="A78" s="23" t="n">
        <v>10</v>
      </c>
      <c r="B78" s="24" t="b">
        <f aca="false">A78&lt;=Inputs!$B$17</f>
        <v>0</v>
      </c>
      <c r="C78" s="25" t="n">
        <f aca="false">IF(A78=2,C77*(1-(Inputs!$B$22)),C77)</f>
        <v>0.276</v>
      </c>
      <c r="D78" s="26" t="n">
        <f aca="false">IF(B78,C78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78)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8" s="25" t="n">
        <f aca="false">0</f>
        <v>0</v>
      </c>
      <c r="F7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79" customFormat="false" ht="15" hidden="false" customHeight="true" outlineLevel="0" collapsed="false">
      <c r="A79" s="23" t="n">
        <v>11</v>
      </c>
      <c r="B79" s="24" t="b">
        <f aca="false">A79&lt;=Inputs!$B$17</f>
        <v>0</v>
      </c>
      <c r="C79" s="25" t="n">
        <f aca="false">IF(A79=2,C78*(1-(Inputs!$B$22)),C78)</f>
        <v>0.276</v>
      </c>
      <c r="D79" s="26" t="n">
        <f aca="false">IF(B79,C79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79)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79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79)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79" s="25" t="n">
        <f aca="false">0</f>
        <v>0</v>
      </c>
      <c r="F7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80" customFormat="false" ht="15" hidden="false" customHeight="true" outlineLevel="0" collapsed="false">
      <c r="A80" s="23" t="n">
        <v>12</v>
      </c>
      <c r="B80" s="24" t="b">
        <f aca="false">A80&lt;=Inputs!$B$17</f>
        <v>0</v>
      </c>
      <c r="C80" s="25" t="n">
        <f aca="false">IF(A80=2,C79*(1-(Inputs!$B$22)),C79)</f>
        <v>0.276</v>
      </c>
      <c r="D80" s="26" t="n">
        <f aca="false">IF(B80,C80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80)*((VLOOKUP("50",Inputs!$A$29:$K$33,6,FALSE()))*(Inputs!$B$25/14)*Inputs!$B$5+(9.33)*(Inputs!$B$25/14)*(Inputs!$B$10*Inputs!$B$6+(1-Inputs!$B$10)*Inputs!$B$7)+(VLOOKUP("50",Inputs!$A$29:$K$33,8,FALSE()))*(Inputs!$B$25/14)*(Inputs!$B$11*Inputs!$B$9+(1-Inputs!$B$11)*Inputs!$B$8)),C80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80)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80" s="25" t="n">
        <f aca="false">0</f>
        <v>0</v>
      </c>
      <c r="F8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81" customFormat="false" ht="15" hidden="false" customHeight="true" outlineLevel="0" collapsed="false">
      <c r="A81" s="27" t="s">
        <v>201</v>
      </c>
      <c r="D81" s="29" t="n">
        <f aca="false">SUM(D69:D80)-SUM(F69:F80)</f>
        <v>-33.4033758282985</v>
      </c>
    </row>
    <row r="83" customFormat="false" ht="15" hidden="false" customHeight="true" outlineLevel="0" collapsed="false">
      <c r="A83" s="27" t="s">
        <v>205</v>
      </c>
    </row>
    <row r="84" customFormat="false" ht="21.75" hidden="false" customHeight="true" outlineLevel="0" collapsed="false">
      <c r="A84" s="43" t="s">
        <v>92</v>
      </c>
      <c r="B84" s="43" t="s">
        <v>145</v>
      </c>
      <c r="C84" s="43" t="s">
        <v>146</v>
      </c>
      <c r="D84" s="43" t="s">
        <v>147</v>
      </c>
      <c r="E84" s="43" t="s">
        <v>148</v>
      </c>
      <c r="F84" s="43" t="s">
        <v>149</v>
      </c>
    </row>
    <row r="85" customFormat="false" ht="15" hidden="false" customHeight="true" outlineLevel="0" collapsed="false">
      <c r="A85" s="23" t="n">
        <v>1</v>
      </c>
      <c r="B85" s="24" t="b">
        <f aca="false">A85&lt;=Inputs!$B$17</f>
        <v>1</v>
      </c>
      <c r="C85" s="25" t="n">
        <f aca="false">VLOOKUP("50",Inputs!$A$29:$K$33,2,FALSE())</f>
        <v>0.4</v>
      </c>
      <c r="D85" s="26" t="n">
        <f aca="false">IF(B85,C85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85)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85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85)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147.10840228875</v>
      </c>
      <c r="E85" s="25" t="n">
        <f aca="false">Inputs!$B$21</f>
        <v>0.083</v>
      </c>
      <c r="F85" s="26" t="n">
        <f aca="false">E85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E85)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304.721942452065</v>
      </c>
    </row>
    <row r="86" customFormat="false" ht="15" hidden="false" customHeight="true" outlineLevel="0" collapsed="false">
      <c r="A86" s="23" t="n">
        <v>2</v>
      </c>
      <c r="B86" s="24" t="b">
        <f aca="false">A86&lt;=Inputs!$B$17</f>
        <v>1</v>
      </c>
      <c r="C86" s="25" t="n">
        <f aca="false">IF(A86=2,C85*(1-(Inputs!$B$22)),C85)</f>
        <v>0.276</v>
      </c>
      <c r="D86" s="26" t="n">
        <f aca="false">IF(B86,C86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86)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86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86)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166.762961050354</v>
      </c>
      <c r="E86" s="25" t="n">
        <f aca="false">0</f>
        <v>0</v>
      </c>
      <c r="F8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87" customFormat="false" ht="15" hidden="false" customHeight="true" outlineLevel="0" collapsed="false">
      <c r="A87" s="23" t="n">
        <v>3</v>
      </c>
      <c r="B87" s="24" t="b">
        <f aca="false">A87&lt;=Inputs!$B$17</f>
        <v>1</v>
      </c>
      <c r="C87" s="25" t="n">
        <f aca="false">IF(A87=2,C86*(1-(Inputs!$B$22)),C86)</f>
        <v>0.276</v>
      </c>
      <c r="D87" s="26" t="n">
        <f aca="false">IF(B87,C87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87)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87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87)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166.762961050354</v>
      </c>
      <c r="E87" s="25" t="n">
        <f aca="false">0</f>
        <v>0</v>
      </c>
      <c r="F8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88" customFormat="false" ht="15" hidden="false" customHeight="true" outlineLevel="0" collapsed="false">
      <c r="A88" s="23" t="n">
        <v>4</v>
      </c>
      <c r="B88" s="24" t="b">
        <f aca="false">A88&lt;=Inputs!$B$17</f>
        <v>0</v>
      </c>
      <c r="C88" s="25" t="n">
        <f aca="false">IF(A88=2,C87*(1-(Inputs!$B$22)),C87)</f>
        <v>0.276</v>
      </c>
      <c r="D88" s="26" t="n">
        <f aca="false">IF(B88,C88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88)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88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88)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88" s="25" t="n">
        <f aca="false">0</f>
        <v>0</v>
      </c>
      <c r="F8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89" customFormat="false" ht="15" hidden="false" customHeight="true" outlineLevel="0" collapsed="false">
      <c r="A89" s="23" t="n">
        <v>5</v>
      </c>
      <c r="B89" s="24" t="b">
        <f aca="false">A89&lt;=Inputs!$B$17</f>
        <v>0</v>
      </c>
      <c r="C89" s="25" t="n">
        <f aca="false">IF(A89=2,C88*(1-(Inputs!$B$22)),C88)</f>
        <v>0.276</v>
      </c>
      <c r="D89" s="26" t="n">
        <f aca="false">IF(B89,C89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89)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89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89)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89" s="25" t="n">
        <f aca="false">0</f>
        <v>0</v>
      </c>
      <c r="F8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0" customFormat="false" ht="15" hidden="false" customHeight="true" outlineLevel="0" collapsed="false">
      <c r="A90" s="23" t="n">
        <v>6</v>
      </c>
      <c r="B90" s="24" t="b">
        <f aca="false">A90&lt;=Inputs!$B$17</f>
        <v>0</v>
      </c>
      <c r="C90" s="25" t="n">
        <f aca="false">IF(A90=2,C89*(1-(Inputs!$B$22)),C89)</f>
        <v>0.276</v>
      </c>
      <c r="D90" s="26" t="n">
        <f aca="false">IF(B90,C90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90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0" s="25" t="n">
        <f aca="false">0</f>
        <v>0</v>
      </c>
      <c r="F9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1" customFormat="false" ht="15" hidden="false" customHeight="true" outlineLevel="0" collapsed="false">
      <c r="A91" s="23" t="n">
        <v>7</v>
      </c>
      <c r="B91" s="24" t="b">
        <f aca="false">A91&lt;=Inputs!$B$17</f>
        <v>0</v>
      </c>
      <c r="C91" s="25" t="n">
        <f aca="false">IF(A91=2,C90*(1-(Inputs!$B$22)),C90)</f>
        <v>0.276</v>
      </c>
      <c r="D91" s="26" t="n">
        <f aca="false">IF(B91,C91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91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1" s="25" t="n">
        <f aca="false">0</f>
        <v>0</v>
      </c>
      <c r="F9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2" customFormat="false" ht="15" hidden="false" customHeight="true" outlineLevel="0" collapsed="false">
      <c r="A92" s="23" t="n">
        <v>8</v>
      </c>
      <c r="B92" s="24" t="b">
        <f aca="false">A92&lt;=Inputs!$B$17</f>
        <v>0</v>
      </c>
      <c r="C92" s="25" t="n">
        <f aca="false">IF(A92=2,C91*(1-(Inputs!$B$22)),C91)</f>
        <v>0.276</v>
      </c>
      <c r="D92" s="26" t="n">
        <f aca="false">IF(B92,C92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92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2" s="25" t="n">
        <f aca="false">0</f>
        <v>0</v>
      </c>
      <c r="F9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3" customFormat="false" ht="15" hidden="false" customHeight="true" outlineLevel="0" collapsed="false">
      <c r="A93" s="23" t="n">
        <v>9</v>
      </c>
      <c r="B93" s="24" t="b">
        <f aca="false">A93&lt;=Inputs!$B$17</f>
        <v>0</v>
      </c>
      <c r="C93" s="25" t="n">
        <f aca="false">IF(A93=2,C92*(1-(Inputs!$B$22)),C92)</f>
        <v>0.276</v>
      </c>
      <c r="D93" s="26" t="n">
        <f aca="false">IF(B93,C93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93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3" s="25" t="n">
        <f aca="false">0</f>
        <v>0</v>
      </c>
      <c r="F9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4" customFormat="false" ht="15" hidden="false" customHeight="true" outlineLevel="0" collapsed="false">
      <c r="A94" s="23" t="n">
        <v>10</v>
      </c>
      <c r="B94" s="24" t="b">
        <f aca="false">A94&lt;=Inputs!$B$17</f>
        <v>0</v>
      </c>
      <c r="C94" s="25" t="n">
        <f aca="false">IF(A94=2,C93*(1-(Inputs!$B$22)),C93)</f>
        <v>0.276</v>
      </c>
      <c r="D94" s="26" t="n">
        <f aca="false">IF(B94,C94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94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4" s="25" t="n">
        <f aca="false">0</f>
        <v>0</v>
      </c>
      <c r="F9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5" customFormat="false" ht="15" hidden="false" customHeight="true" outlineLevel="0" collapsed="false">
      <c r="A95" s="23" t="n">
        <v>11</v>
      </c>
      <c r="B95" s="24" t="b">
        <f aca="false">A95&lt;=Inputs!$B$17</f>
        <v>0</v>
      </c>
      <c r="C95" s="25" t="n">
        <f aca="false">IF(A95=2,C94*(1-(Inputs!$B$22)),C94)</f>
        <v>0.276</v>
      </c>
      <c r="D95" s="26" t="n">
        <f aca="false">IF(B95,C95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95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5" s="25" t="n">
        <f aca="false">0</f>
        <v>0</v>
      </c>
      <c r="F9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6" customFormat="false" ht="15" hidden="false" customHeight="true" outlineLevel="0" collapsed="false">
      <c r="A96" s="23" t="n">
        <v>12</v>
      </c>
      <c r="B96" s="24" t="b">
        <f aca="false">A96&lt;=Inputs!$B$17</f>
        <v>0</v>
      </c>
      <c r="C96" s="25" t="n">
        <f aca="false">IF(A96=2,C95*(1-(Inputs!$B$22)),C95)</f>
        <v>0.276</v>
      </c>
      <c r="D96" s="26" t="n">
        <f aca="false">IF(B96,C96*((VLOOKUP("50",Inputs!$A$29:$K$33,3,FALSE()))*(Inputs!$B$25/14)*Inputs!$B$5+(1.04)*(Inputs!$B$25/14)*(Inputs!$B$10*Inputs!$B$6+(1-Inputs!$B$10)*Inputs!$B$7)+(VLOOKUP("50",Inputs!$A$29:$K$33,5,FALSE()))*(Inputs!$B$25/14)*(Inputs!$B$11*Inputs!$B$9+(1-Inputs!$B$11)*Inputs!$B$8))+(1-C96)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96*(((VLOOKUP("50",Inputs!$A$29:$K$33,3,FALSE()))*(Inputs!$B$25/14)*Inputs!$B$5+(1.04)*(Inputs!$B$25/14)*(Inputs!$B$10*Inputs!$B$6+(1-Inputs!$B$10)*Inputs!$B$7)+(VLOOKUP("50",Inputs!$A$29:$K$33,5,FALSE()))*(Inputs!$B$25/14)*(Inputs!$B$11*Inputs!$B$9+(1-Inputs!$B$11)*Inputs!$B$8))+Inputs!$B$18)+(1-C96)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309.033027443604</v>
      </c>
      <c r="E96" s="25" t="n">
        <f aca="false">0</f>
        <v>0</v>
      </c>
      <c r="F9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97" customFormat="false" ht="15" hidden="false" customHeight="true" outlineLevel="0" collapsed="false">
      <c r="A97" s="27" t="s">
        <v>201</v>
      </c>
      <c r="D97" s="29" t="n">
        <f aca="false">SUM(D85:D96)-SUM(F85:F96)</f>
        <v>-646.345620958569</v>
      </c>
    </row>
    <row r="99" customFormat="false" ht="15" hidden="false" customHeight="true" outlineLevel="0" collapsed="false">
      <c r="A99" s="27" t="s">
        <v>206</v>
      </c>
    </row>
    <row r="100" customFormat="false" ht="21.75" hidden="false" customHeight="true" outlineLevel="0" collapsed="false">
      <c r="A100" s="43" t="s">
        <v>92</v>
      </c>
      <c r="B100" s="43" t="s">
        <v>145</v>
      </c>
      <c r="C100" s="43" t="s">
        <v>146</v>
      </c>
      <c r="D100" s="43" t="s">
        <v>147</v>
      </c>
      <c r="E100" s="43" t="s">
        <v>148</v>
      </c>
      <c r="F100" s="43" t="s">
        <v>149</v>
      </c>
    </row>
    <row r="101" customFormat="false" ht="15" hidden="false" customHeight="true" outlineLevel="0" collapsed="false">
      <c r="A101" s="23" t="n">
        <v>1</v>
      </c>
      <c r="B101" s="24" t="b">
        <f aca="false">A101&lt;=Inputs!$B$17</f>
        <v>1</v>
      </c>
      <c r="C101" s="25" t="n">
        <f aca="false">VLOOKUP("50",Inputs!$A$29:$K$33,2,FALSE())</f>
        <v>0.4</v>
      </c>
      <c r="D101" s="26" t="n">
        <f aca="false">IF(B101,C101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101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202.878911353929</v>
      </c>
      <c r="E101" s="25" t="n">
        <f aca="false">Inputs!$B$21</f>
        <v>0.083</v>
      </c>
      <c r="F101" s="26" t="n">
        <f aca="false">E101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E101)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316.29432308309</v>
      </c>
    </row>
    <row r="102" customFormat="false" ht="15" hidden="false" customHeight="true" outlineLevel="0" collapsed="false">
      <c r="A102" s="23" t="n">
        <v>2</v>
      </c>
      <c r="B102" s="24" t="b">
        <f aca="false">A102&lt;=Inputs!$B$17</f>
        <v>1</v>
      </c>
      <c r="C102" s="25" t="n">
        <f aca="false">IF(A102=2,C101*(1-(Inputs!$B$22)),C101)</f>
        <v>0.276</v>
      </c>
      <c r="D102" s="26" t="n">
        <f aca="false">IF(B102,C102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102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205.244612305327</v>
      </c>
      <c r="E102" s="25" t="n">
        <f aca="false">0</f>
        <v>0</v>
      </c>
      <c r="F10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3" customFormat="false" ht="15" hidden="false" customHeight="true" outlineLevel="0" collapsed="false">
      <c r="A103" s="23" t="n">
        <v>3</v>
      </c>
      <c r="B103" s="24" t="b">
        <f aca="false">A103&lt;=Inputs!$B$17</f>
        <v>1</v>
      </c>
      <c r="C103" s="25" t="n">
        <f aca="false">IF(A103=2,C102*(1-(Inputs!$B$22)),C102)</f>
        <v>0.276</v>
      </c>
      <c r="D103" s="26" t="n">
        <f aca="false">IF(B103,C103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103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205.244612305327</v>
      </c>
      <c r="E103" s="25" t="n">
        <f aca="false">0</f>
        <v>0</v>
      </c>
      <c r="F10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4" customFormat="false" ht="15" hidden="false" customHeight="true" outlineLevel="0" collapsed="false">
      <c r="A104" s="23" t="n">
        <v>4</v>
      </c>
      <c r="B104" s="24" t="b">
        <f aca="false">A104&lt;=Inputs!$B$17</f>
        <v>0</v>
      </c>
      <c r="C104" s="25" t="n">
        <f aca="false">IF(A104=2,C103*(1-(Inputs!$B$22)),C103)</f>
        <v>0.276</v>
      </c>
      <c r="D104" s="26" t="n">
        <f aca="false">IF(B104,C104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104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04" s="25" t="n">
        <f aca="false">0</f>
        <v>0</v>
      </c>
      <c r="F10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5" customFormat="false" ht="15" hidden="false" customHeight="true" outlineLevel="0" collapsed="false">
      <c r="A105" s="23" t="n">
        <v>5</v>
      </c>
      <c r="B105" s="24" t="b">
        <f aca="false">A105&lt;=Inputs!$B$17</f>
        <v>0</v>
      </c>
      <c r="C105" s="25" t="n">
        <f aca="false">IF(A105=2,C104*(1-(Inputs!$B$22)),C104)</f>
        <v>0.276</v>
      </c>
      <c r="D105" s="26" t="n">
        <f aca="false">IF(B105,C105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105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05" s="25" t="n">
        <f aca="false">0</f>
        <v>0</v>
      </c>
      <c r="F10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6" customFormat="false" ht="15" hidden="false" customHeight="true" outlineLevel="0" collapsed="false">
      <c r="A106" s="23" t="n">
        <v>6</v>
      </c>
      <c r="B106" s="24" t="b">
        <f aca="false">A106&lt;=Inputs!$B$17</f>
        <v>0</v>
      </c>
      <c r="C106" s="25" t="n">
        <f aca="false">IF(A106=2,C105*(1-(Inputs!$B$22)),C105)</f>
        <v>0.276</v>
      </c>
      <c r="D106" s="26" t="n">
        <f aca="false">IF(B106,C106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106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06" s="25" t="n">
        <f aca="false">0</f>
        <v>0</v>
      </c>
      <c r="F10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7" customFormat="false" ht="15" hidden="false" customHeight="true" outlineLevel="0" collapsed="false">
      <c r="A107" s="23" t="n">
        <v>7</v>
      </c>
      <c r="B107" s="24" t="b">
        <f aca="false">A107&lt;=Inputs!$B$17</f>
        <v>0</v>
      </c>
      <c r="C107" s="25" t="n">
        <f aca="false">IF(A107=2,C106*(1-(Inputs!$B$22)),C106)</f>
        <v>0.276</v>
      </c>
      <c r="D107" s="26" t="n">
        <f aca="false">IF(B107,C107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107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07" s="25" t="n">
        <f aca="false">0</f>
        <v>0</v>
      </c>
      <c r="F10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8" customFormat="false" ht="15" hidden="false" customHeight="true" outlineLevel="0" collapsed="false">
      <c r="A108" s="23" t="n">
        <v>8</v>
      </c>
      <c r="B108" s="24" t="b">
        <f aca="false">A108&lt;=Inputs!$B$17</f>
        <v>0</v>
      </c>
      <c r="C108" s="25" t="n">
        <f aca="false">IF(A108=2,C107*(1-(Inputs!$B$22)),C107)</f>
        <v>0.276</v>
      </c>
      <c r="D108" s="26" t="n">
        <f aca="false">IF(B108,C108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108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08" s="25" t="n">
        <f aca="false">0</f>
        <v>0</v>
      </c>
      <c r="F10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09" customFormat="false" ht="15" hidden="false" customHeight="true" outlineLevel="0" collapsed="false">
      <c r="A109" s="23" t="n">
        <v>9</v>
      </c>
      <c r="B109" s="24" t="b">
        <f aca="false">A109&lt;=Inputs!$B$17</f>
        <v>0</v>
      </c>
      <c r="C109" s="25" t="n">
        <f aca="false">IF(A109=2,C108*(1-(Inputs!$B$22)),C108)</f>
        <v>0.276</v>
      </c>
      <c r="D109" s="26" t="n">
        <f aca="false">IF(B109,C109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109)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109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109)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09" s="25" t="n">
        <f aca="false">0</f>
        <v>0</v>
      </c>
      <c r="F10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10" customFormat="false" ht="15" hidden="false" customHeight="true" outlineLevel="0" collapsed="false">
      <c r="A110" s="23" t="n">
        <v>10</v>
      </c>
      <c r="B110" s="24" t="b">
        <f aca="false">A110&lt;=Inputs!$B$17</f>
        <v>0</v>
      </c>
      <c r="C110" s="25" t="n">
        <f aca="false">IF(A110=2,C109*(1-(Inputs!$B$22)),C109)</f>
        <v>0.276</v>
      </c>
      <c r="D110" s="26" t="n">
        <f aca="false">IF(B110,C110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110)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110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110)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10" s="25" t="n">
        <f aca="false">0</f>
        <v>0</v>
      </c>
      <c r="F11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11" customFormat="false" ht="15" hidden="false" customHeight="true" outlineLevel="0" collapsed="false">
      <c r="A111" s="23" t="n">
        <v>11</v>
      </c>
      <c r="B111" s="24" t="b">
        <f aca="false">A111&lt;=Inputs!$B$17</f>
        <v>0</v>
      </c>
      <c r="C111" s="25" t="n">
        <f aca="false">IF(A111=2,C110*(1-(Inputs!$B$22)),C110)</f>
        <v>0.276</v>
      </c>
      <c r="D111" s="26" t="n">
        <f aca="false">IF(B111,C111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111)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111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111)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11" s="25" t="n">
        <f aca="false">0</f>
        <v>0</v>
      </c>
      <c r="F11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12" customFormat="false" ht="15" hidden="false" customHeight="true" outlineLevel="0" collapsed="false">
      <c r="A112" s="23" t="n">
        <v>12</v>
      </c>
      <c r="B112" s="24" t="b">
        <f aca="false">A112&lt;=Inputs!$B$17</f>
        <v>0</v>
      </c>
      <c r="C112" s="25" t="n">
        <f aca="false">IF(A112=2,C111*(1-(Inputs!$B$22)),C111)</f>
        <v>0.276</v>
      </c>
      <c r="D112" s="26" t="n">
        <f aca="false">IF(B112,C112*((VLOOKUP("50",Inputs!$A$29:$K$33,3,FALSE()))*(Inputs!$B$25/14)*Inputs!$B$5+(4.59)*(Inputs!$B$25/14)*(Inputs!$B$10*Inputs!$B$6+(1-Inputs!$B$10)*Inputs!$B$7)+(VLOOKUP("50",Inputs!$A$29:$K$33,5,FALSE()))*(Inputs!$B$25/14)*(Inputs!$B$11*Inputs!$B$9+(1-Inputs!$B$11)*Inputs!$B$8))+(1-C112)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112*(((VLOOKUP("50",Inputs!$A$29:$K$33,3,FALSE()))*(Inputs!$B$25/14)*Inputs!$B$5+(4.59)*(Inputs!$B$25/14)*(Inputs!$B$10*Inputs!$B$6+(1-Inputs!$B$10)*Inputs!$B$7)+(VLOOKUP("50",Inputs!$A$29:$K$33,5,FALSE()))*(Inputs!$B$25/14)*(Inputs!$B$11*Inputs!$B$9+(1-Inputs!$B$11)*Inputs!$B$8))+Inputs!$B$18)+(1-C112)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347.514678698577</v>
      </c>
      <c r="E112" s="25" t="n">
        <f aca="false">0</f>
        <v>0</v>
      </c>
      <c r="F11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13" customFormat="false" ht="15" hidden="false" customHeight="true" outlineLevel="0" collapsed="false">
      <c r="A113" s="27" t="s">
        <v>201</v>
      </c>
      <c r="D113" s="29" t="n">
        <f aca="false">SUM(D101:D112)-SUM(F101:F112)</f>
        <v>-178.84932871971</v>
      </c>
    </row>
    <row r="115" customFormat="false" ht="15" hidden="false" customHeight="true" outlineLevel="0" collapsed="false">
      <c r="A115" s="27" t="s">
        <v>207</v>
      </c>
    </row>
    <row r="116" customFormat="false" ht="21.75" hidden="false" customHeight="true" outlineLevel="0" collapsed="false">
      <c r="A116" s="43" t="s">
        <v>92</v>
      </c>
      <c r="B116" s="43" t="s">
        <v>145</v>
      </c>
      <c r="C116" s="43" t="s">
        <v>146</v>
      </c>
      <c r="D116" s="43" t="s">
        <v>147</v>
      </c>
      <c r="E116" s="43" t="s">
        <v>148</v>
      </c>
      <c r="F116" s="43" t="s">
        <v>149</v>
      </c>
    </row>
    <row r="117" customFormat="false" ht="15" hidden="false" customHeight="true" outlineLevel="0" collapsed="false">
      <c r="A117" s="23" t="n">
        <v>1</v>
      </c>
      <c r="B117" s="24" t="b">
        <f aca="false">A117&lt;=Inputs!$B$17</f>
        <v>1</v>
      </c>
      <c r="C117" s="25" t="n">
        <f aca="false">VLOOKUP("50",Inputs!$A$29:$K$33,2,FALSE())</f>
        <v>0.4</v>
      </c>
      <c r="D117" s="26" t="n">
        <f aca="false">IF(B117,C117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117)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117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117)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150.411363604464</v>
      </c>
      <c r="E117" s="25" t="n">
        <f aca="false">Inputs!$B$21</f>
        <v>0.083</v>
      </c>
      <c r="F117" s="26" t="n">
        <f aca="false">E117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E117)*((INDEX(Inputs!$A$37:$C$37,1,1))*(Inputs!$B$25/14)*Inputs!$B$5+(INDEX(Inputs!$A$37:$C$37,1,2))*(Inputs!$B$25/14)*(0.661*Inputs!$B$6+(1-0.661)*Inputs!$B$7)+(INDEX(Inputs!$A$37:$C$37,1,3))*(Inputs!$B$25/14)*(Inputs!$B$11*Inputs!$B$9+(1-Inputs!$B$11)*Inputs!$B$8))</f>
        <v>269.277716485045</v>
      </c>
    </row>
    <row r="118" customFormat="false" ht="15" hidden="false" customHeight="true" outlineLevel="0" collapsed="false">
      <c r="A118" s="23" t="n">
        <v>2</v>
      </c>
      <c r="B118" s="24" t="b">
        <f aca="false">A118&lt;=Inputs!$B$17</f>
        <v>1</v>
      </c>
      <c r="C118" s="25" t="n">
        <f aca="false">IF(A118=2,C117*(1-(Inputs!$B$22)),C117)</f>
        <v>0.276</v>
      </c>
      <c r="D118" s="26" t="n">
        <f aca="false">IF(B118,C118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118)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118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118)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161.829761726321</v>
      </c>
      <c r="E118" s="25" t="n">
        <f aca="false">0</f>
        <v>0</v>
      </c>
      <c r="F118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19" customFormat="false" ht="15" hidden="false" customHeight="true" outlineLevel="0" collapsed="false">
      <c r="A119" s="23" t="n">
        <v>3</v>
      </c>
      <c r="B119" s="24" t="b">
        <f aca="false">A119&lt;=Inputs!$B$17</f>
        <v>1</v>
      </c>
      <c r="C119" s="25" t="n">
        <f aca="false">IF(A119=2,C118*(1-(Inputs!$B$22)),C118)</f>
        <v>0.276</v>
      </c>
      <c r="D119" s="26" t="n">
        <f aca="false">IF(B119,C119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119)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119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119)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161.829761726321</v>
      </c>
      <c r="E119" s="25" t="n">
        <f aca="false">0</f>
        <v>0</v>
      </c>
      <c r="F119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0" customFormat="false" ht="15" hidden="false" customHeight="true" outlineLevel="0" collapsed="false">
      <c r="A120" s="23" t="n">
        <v>4</v>
      </c>
      <c r="B120" s="24" t="b">
        <f aca="false">A120&lt;=Inputs!$B$17</f>
        <v>0</v>
      </c>
      <c r="C120" s="25" t="n">
        <f aca="false">IF(A120=2,C119*(1-(Inputs!$B$22)),C119)</f>
        <v>0.276</v>
      </c>
      <c r="D120" s="26" t="n">
        <f aca="false">IF(B120,C120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120)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120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120)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0" s="25" t="n">
        <f aca="false">0</f>
        <v>0</v>
      </c>
      <c r="F120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1" customFormat="false" ht="15" hidden="false" customHeight="true" outlineLevel="0" collapsed="false">
      <c r="A121" s="23" t="n">
        <v>5</v>
      </c>
      <c r="B121" s="24" t="b">
        <f aca="false">A121&lt;=Inputs!$B$17</f>
        <v>0</v>
      </c>
      <c r="C121" s="25" t="n">
        <f aca="false">IF(A121=2,C120*(1-(Inputs!$B$22)),C120)</f>
        <v>0.276</v>
      </c>
      <c r="D121" s="26" t="n">
        <f aca="false">IF(B121,C121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121)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121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121)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1" s="25" t="n">
        <f aca="false">0</f>
        <v>0</v>
      </c>
      <c r="F121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2" customFormat="false" ht="15" hidden="false" customHeight="true" outlineLevel="0" collapsed="false">
      <c r="A122" s="23" t="n">
        <v>6</v>
      </c>
      <c r="B122" s="24" t="b">
        <f aca="false">A122&lt;=Inputs!$B$17</f>
        <v>0</v>
      </c>
      <c r="C122" s="25" t="n">
        <f aca="false">IF(A122=2,C121*(1-(Inputs!$B$22)),C121)</f>
        <v>0.276</v>
      </c>
      <c r="D122" s="26" t="n">
        <f aca="false">IF(B122,C122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122)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122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122)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2" s="25" t="n">
        <f aca="false">0</f>
        <v>0</v>
      </c>
      <c r="F122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3" customFormat="false" ht="15" hidden="false" customHeight="true" outlineLevel="0" collapsed="false">
      <c r="A123" s="23" t="n">
        <v>7</v>
      </c>
      <c r="B123" s="24" t="b">
        <f aca="false">A123&lt;=Inputs!$B$17</f>
        <v>0</v>
      </c>
      <c r="C123" s="25" t="n">
        <f aca="false">IF(A123=2,C122*(1-(Inputs!$B$22)),C122)</f>
        <v>0.276</v>
      </c>
      <c r="D123" s="26" t="n">
        <f aca="false">IF(B123,C123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123)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123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123)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3" s="25" t="n">
        <f aca="false">0</f>
        <v>0</v>
      </c>
      <c r="F123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4" customFormat="false" ht="15" hidden="false" customHeight="true" outlineLevel="0" collapsed="false">
      <c r="A124" s="23" t="n">
        <v>8</v>
      </c>
      <c r="B124" s="24" t="b">
        <f aca="false">A124&lt;=Inputs!$B$17</f>
        <v>0</v>
      </c>
      <c r="C124" s="25" t="n">
        <f aca="false">IF(A124=2,C123*(1-(Inputs!$B$22)),C123)</f>
        <v>0.276</v>
      </c>
      <c r="D124" s="26" t="n">
        <f aca="false">IF(B124,C124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124)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124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124)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4" s="25" t="n">
        <f aca="false">0</f>
        <v>0</v>
      </c>
      <c r="F124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5" customFormat="false" ht="15" hidden="false" customHeight="true" outlineLevel="0" collapsed="false">
      <c r="A125" s="23" t="n">
        <v>9</v>
      </c>
      <c r="B125" s="24" t="b">
        <f aca="false">A125&lt;=Inputs!$B$17</f>
        <v>0</v>
      </c>
      <c r="C125" s="25" t="n">
        <f aca="false">IF(A125=2,C124*(1-(Inputs!$B$22)),C124)</f>
        <v>0.276</v>
      </c>
      <c r="D125" s="26" t="n">
        <f aca="false">IF(B125,C125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125)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125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125)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5" s="25" t="n">
        <f aca="false">0</f>
        <v>0</v>
      </c>
      <c r="F125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6" customFormat="false" ht="15" hidden="false" customHeight="true" outlineLevel="0" collapsed="false">
      <c r="A126" s="23" t="n">
        <v>10</v>
      </c>
      <c r="B126" s="24" t="b">
        <f aca="false">A126&lt;=Inputs!$B$17</f>
        <v>0</v>
      </c>
      <c r="C126" s="25" t="n">
        <f aca="false">IF(A126=2,C125*(1-(Inputs!$B$22)),C125)</f>
        <v>0.276</v>
      </c>
      <c r="D126" s="26" t="n">
        <f aca="false">IF(B126,C126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126)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126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126)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6" s="25" t="n">
        <f aca="false">0</f>
        <v>0</v>
      </c>
      <c r="F126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7" customFormat="false" ht="15" hidden="false" customHeight="true" outlineLevel="0" collapsed="false">
      <c r="A127" s="23" t="n">
        <v>11</v>
      </c>
      <c r="B127" s="24" t="b">
        <f aca="false">A127&lt;=Inputs!$B$17</f>
        <v>0</v>
      </c>
      <c r="C127" s="25" t="n">
        <f aca="false">IF(A127=2,C126*(1-(Inputs!$B$22)),C126)</f>
        <v>0.276</v>
      </c>
      <c r="D127" s="26" t="n">
        <f aca="false">IF(B127,C127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127)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127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127)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7" s="25" t="n">
        <f aca="false">0</f>
        <v>0</v>
      </c>
      <c r="F127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8" customFormat="false" ht="15" hidden="false" customHeight="true" outlineLevel="0" collapsed="false">
      <c r="A128" s="23" t="n">
        <v>12</v>
      </c>
      <c r="B128" s="24" t="b">
        <f aca="false">A128&lt;=Inputs!$B$17</f>
        <v>0</v>
      </c>
      <c r="C128" s="25" t="n">
        <f aca="false">IF(A128=2,C127*(1-(Inputs!$B$22)),C127)</f>
        <v>0.276</v>
      </c>
      <c r="D128" s="26" t="n">
        <f aca="false">IF(B128,C128*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(1-C128)*((VLOOKUP("50",Inputs!$A$29:$K$33,6,FALSE()))*(Inputs!$B$25/14)*Inputs!$B$5+(VLOOKUP("50",Inputs!$A$29:$K$33,7,FALSE()))*(Inputs!$B$25/14)*(0.661*Inputs!$B$6+(1-0.661)*Inputs!$B$7)+(VLOOKUP("50",Inputs!$A$29:$K$33,8,FALSE()))*(Inputs!$B$25/14)*(Inputs!$B$11*Inputs!$B$9+(1-Inputs!$B$11)*Inputs!$B$8)),C128*(((VLOOKUP("50",Inputs!$A$29:$K$33,3,FALSE()))*(Inputs!$B$25/14)*Inputs!$B$5+(VLOOKUP("50",Inputs!$A$29:$K$33,4,FALSE()))*(Inputs!$B$25/14)*(0.661*Inputs!$B$6+(1-0.661)*Inputs!$B$7)+(VLOOKUP("50",Inputs!$A$29:$K$33,5,FALSE()))*(Inputs!$B$25/14)*(Inputs!$B$11*Inputs!$B$9+(1-Inputs!$B$11)*Inputs!$B$8))+Inputs!$B$18)+(1-C128)*(((INDEX(Inputs!$A$37:$C$37,1,1))*(Inputs!$B$25/14)*Inputs!$B$5+(INDEX(Inputs!$A$37:$C$37,1,2))*(Inputs!$B$25/14)*(0.661*Inputs!$B$6+(1-0.661)*Inputs!$B$7)+(INDEX(Inputs!$A$37:$C$37,1,3))*(Inputs!$B$25/14)*(Inputs!$B$11*Inputs!$B$9+(1-Inputs!$B$11)*Inputs!$B$8))))</f>
        <v>290.131569691071</v>
      </c>
      <c r="E128" s="25" t="n">
        <f aca="false">0</f>
        <v>0</v>
      </c>
      <c r="F128" s="26" t="n">
        <f aca="false">((INDEX(Inputs!$A$37:$C$37,1,1))*(Inputs!$B$25/14)*Inputs!$B$5+(INDEX(Inputs!$A$37:$C$37,1,2))*(Inputs!$B$25/14)*(0.661*Inputs!$B$6+(1-0.661)*Inputs!$B$7)+(INDEX(Inputs!$A$37:$C$37,1,3))*(Inputs!$B$25/14)*(Inputs!$B$11*Inputs!$B$9+(1-Inputs!$B$11)*Inputs!$B$8))</f>
        <v>285.037458370536</v>
      </c>
    </row>
    <row r="129" customFormat="false" ht="15" hidden="false" customHeight="true" outlineLevel="0" collapsed="false">
      <c r="A129" s="27" t="s">
        <v>201</v>
      </c>
      <c r="D129" s="29" t="n">
        <f aca="false">SUM(D117:D128)-SUM(F117:F128)</f>
        <v>-319.434744284188</v>
      </c>
    </row>
    <row r="131" customFormat="false" ht="15" hidden="false" customHeight="true" outlineLevel="0" collapsed="false">
      <c r="A131" s="27" t="s">
        <v>208</v>
      </c>
    </row>
    <row r="132" customFormat="false" ht="21.75" hidden="false" customHeight="true" outlineLevel="0" collapsed="false">
      <c r="A132" s="43" t="s">
        <v>92</v>
      </c>
      <c r="B132" s="43" t="s">
        <v>145</v>
      </c>
      <c r="C132" s="43" t="s">
        <v>146</v>
      </c>
      <c r="D132" s="43" t="s">
        <v>147</v>
      </c>
      <c r="E132" s="43" t="s">
        <v>148</v>
      </c>
      <c r="F132" s="43" t="s">
        <v>149</v>
      </c>
    </row>
    <row r="133" customFormat="false" ht="15" hidden="false" customHeight="true" outlineLevel="0" collapsed="false">
      <c r="A133" s="23" t="n">
        <v>1</v>
      </c>
      <c r="B133" s="24" t="b">
        <f aca="false">A133&lt;=Inputs!$B$17</f>
        <v>1</v>
      </c>
      <c r="C133" s="25" t="n">
        <f aca="false">VLOOKUP("50",Inputs!$A$29:$K$33,2,FALSE())</f>
        <v>0.4</v>
      </c>
      <c r="D133" s="26" t="n">
        <f aca="false">IF(B133,C133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133)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133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133)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181.005534548214</v>
      </c>
      <c r="E133" s="25" t="n">
        <f aca="false">Inputs!$B$21</f>
        <v>0.083</v>
      </c>
      <c r="F133" s="26" t="n">
        <f aca="false">E133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E133)*((INDEX(Inputs!$A$37:$C$37,1,1))*(Inputs!$B$25/14)*Inputs!$B$5+(INDEX(Inputs!$A$37:$C$37,1,2))*(Inputs!$B$25/14)*(0.982*Inputs!$B$6+(1-0.982)*Inputs!$B$7)+(INDEX(Inputs!$A$37:$C$37,1,3))*(Inputs!$B$25/14)*(Inputs!$B$11*Inputs!$B$9+(1-Inputs!$B$11)*Inputs!$B$8))</f>
        <v>331.925028952232</v>
      </c>
    </row>
    <row r="134" customFormat="false" ht="15" hidden="false" customHeight="true" outlineLevel="0" collapsed="false">
      <c r="A134" s="23" t="n">
        <v>2</v>
      </c>
      <c r="B134" s="24" t="b">
        <f aca="false">A134&lt;=Inputs!$B$17</f>
        <v>1</v>
      </c>
      <c r="C134" s="25" t="n">
        <f aca="false">IF(A134=2,C133*(1-(Inputs!$B$22)),C133)</f>
        <v>0.276</v>
      </c>
      <c r="D134" s="26" t="n">
        <f aca="false">IF(B134,C134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134)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134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134)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194.178234264071</v>
      </c>
      <c r="E134" s="25" t="n">
        <f aca="false">0</f>
        <v>0</v>
      </c>
      <c r="F134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35" customFormat="false" ht="15" hidden="false" customHeight="true" outlineLevel="0" collapsed="false">
      <c r="A135" s="23" t="n">
        <v>3</v>
      </c>
      <c r="B135" s="24" t="b">
        <f aca="false">A135&lt;=Inputs!$B$17</f>
        <v>1</v>
      </c>
      <c r="C135" s="25" t="n">
        <f aca="false">IF(A135=2,C134*(1-(Inputs!$B$22)),C134)</f>
        <v>0.276</v>
      </c>
      <c r="D135" s="26" t="n">
        <f aca="false">IF(B135,C135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135)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135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135)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194.178234264071</v>
      </c>
      <c r="E135" s="25" t="n">
        <f aca="false">0</f>
        <v>0</v>
      </c>
      <c r="F135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36" customFormat="false" ht="15" hidden="false" customHeight="true" outlineLevel="0" collapsed="false">
      <c r="A136" s="23" t="n">
        <v>4</v>
      </c>
      <c r="B136" s="24" t="b">
        <f aca="false">A136&lt;=Inputs!$B$17</f>
        <v>0</v>
      </c>
      <c r="C136" s="25" t="n">
        <f aca="false">IF(A136=2,C135*(1-(Inputs!$B$22)),C135)</f>
        <v>0.276</v>
      </c>
      <c r="D136" s="26" t="n">
        <f aca="false">IF(B136,C136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136)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136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136)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36" s="25" t="n">
        <f aca="false">0</f>
        <v>0</v>
      </c>
      <c r="F136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37" customFormat="false" ht="15" hidden="false" customHeight="true" outlineLevel="0" collapsed="false">
      <c r="A137" s="23" t="n">
        <v>5</v>
      </c>
      <c r="B137" s="24" t="b">
        <f aca="false">A137&lt;=Inputs!$B$17</f>
        <v>0</v>
      </c>
      <c r="C137" s="25" t="n">
        <f aca="false">IF(A137=2,C136*(1-(Inputs!$B$22)),C136)</f>
        <v>0.276</v>
      </c>
      <c r="D137" s="26" t="n">
        <f aca="false">IF(B137,C137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137)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137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137)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37" s="25" t="n">
        <f aca="false">0</f>
        <v>0</v>
      </c>
      <c r="F137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38" customFormat="false" ht="15" hidden="false" customHeight="true" outlineLevel="0" collapsed="false">
      <c r="A138" s="23" t="n">
        <v>6</v>
      </c>
      <c r="B138" s="24" t="b">
        <f aca="false">A138&lt;=Inputs!$B$17</f>
        <v>0</v>
      </c>
      <c r="C138" s="25" t="n">
        <f aca="false">IF(A138=2,C137*(1-(Inputs!$B$22)),C137)</f>
        <v>0.276</v>
      </c>
      <c r="D138" s="26" t="n">
        <f aca="false">IF(B138,C138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138)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138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138)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38" s="25" t="n">
        <f aca="false">0</f>
        <v>0</v>
      </c>
      <c r="F138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39" customFormat="false" ht="15" hidden="false" customHeight="true" outlineLevel="0" collapsed="false">
      <c r="A139" s="23" t="n">
        <v>7</v>
      </c>
      <c r="B139" s="24" t="b">
        <f aca="false">A139&lt;=Inputs!$B$17</f>
        <v>0</v>
      </c>
      <c r="C139" s="25" t="n">
        <f aca="false">IF(A139=2,C138*(1-(Inputs!$B$22)),C138)</f>
        <v>0.276</v>
      </c>
      <c r="D139" s="26" t="n">
        <f aca="false">IF(B139,C139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139)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139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139)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39" s="25" t="n">
        <f aca="false">0</f>
        <v>0</v>
      </c>
      <c r="F139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40" customFormat="false" ht="15" hidden="false" customHeight="true" outlineLevel="0" collapsed="false">
      <c r="A140" s="23" t="n">
        <v>8</v>
      </c>
      <c r="B140" s="24" t="b">
        <f aca="false">A140&lt;=Inputs!$B$17</f>
        <v>0</v>
      </c>
      <c r="C140" s="25" t="n">
        <f aca="false">IF(A140=2,C139*(1-(Inputs!$B$22)),C139)</f>
        <v>0.276</v>
      </c>
      <c r="D140" s="26" t="n">
        <f aca="false">IF(B140,C140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140)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140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140)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40" s="25" t="n">
        <f aca="false">0</f>
        <v>0</v>
      </c>
      <c r="F140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41" customFormat="false" ht="15" hidden="false" customHeight="true" outlineLevel="0" collapsed="false">
      <c r="A141" s="23" t="n">
        <v>9</v>
      </c>
      <c r="B141" s="24" t="b">
        <f aca="false">A141&lt;=Inputs!$B$17</f>
        <v>0</v>
      </c>
      <c r="C141" s="25" t="n">
        <f aca="false">IF(A141=2,C140*(1-(Inputs!$B$22)),C140)</f>
        <v>0.276</v>
      </c>
      <c r="D141" s="26" t="n">
        <f aca="false">IF(B141,C141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141)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141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141)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41" s="25" t="n">
        <f aca="false">0</f>
        <v>0</v>
      </c>
      <c r="F141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42" customFormat="false" ht="15" hidden="false" customHeight="true" outlineLevel="0" collapsed="false">
      <c r="A142" s="23" t="n">
        <v>10</v>
      </c>
      <c r="B142" s="24" t="b">
        <f aca="false">A142&lt;=Inputs!$B$17</f>
        <v>0</v>
      </c>
      <c r="C142" s="25" t="n">
        <f aca="false">IF(A142=2,C141*(1-(Inputs!$B$22)),C141)</f>
        <v>0.276</v>
      </c>
      <c r="D142" s="26" t="n">
        <f aca="false">IF(B142,C142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142)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142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142)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42" s="25" t="n">
        <f aca="false">0</f>
        <v>0</v>
      </c>
      <c r="F142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43" customFormat="false" ht="15" hidden="false" customHeight="true" outlineLevel="0" collapsed="false">
      <c r="A143" s="23" t="n">
        <v>11</v>
      </c>
      <c r="B143" s="24" t="b">
        <f aca="false">A143&lt;=Inputs!$B$17</f>
        <v>0</v>
      </c>
      <c r="C143" s="25" t="n">
        <f aca="false">IF(A143=2,C142*(1-(Inputs!$B$22)),C142)</f>
        <v>0.276</v>
      </c>
      <c r="D143" s="26" t="n">
        <f aca="false">IF(B143,C143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143)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143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143)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43" s="25" t="n">
        <f aca="false">0</f>
        <v>0</v>
      </c>
      <c r="F143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44" customFormat="false" ht="15" hidden="false" customHeight="true" outlineLevel="0" collapsed="false">
      <c r="A144" s="23" t="n">
        <v>12</v>
      </c>
      <c r="B144" s="24" t="b">
        <f aca="false">A144&lt;=Inputs!$B$17</f>
        <v>0</v>
      </c>
      <c r="C144" s="25" t="n">
        <f aca="false">IF(A144=2,C143*(1-(Inputs!$B$22)),C143)</f>
        <v>0.276</v>
      </c>
      <c r="D144" s="26" t="n">
        <f aca="false">IF(B144,C144*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(1-C144)*((VLOOKUP("50",Inputs!$A$29:$K$33,6,FALSE()))*(Inputs!$B$25/14)*Inputs!$B$5+(VLOOKUP("50",Inputs!$A$29:$K$33,7,FALSE()))*(Inputs!$B$25/14)*(0.982*Inputs!$B$6+(1-0.982)*Inputs!$B$7)+(VLOOKUP("50",Inputs!$A$29:$K$33,8,FALSE()))*(Inputs!$B$25/14)*(Inputs!$B$11*Inputs!$B$9+(1-Inputs!$B$11)*Inputs!$B$8)),C144*(((VLOOKUP("50",Inputs!$A$29:$K$33,3,FALSE()))*(Inputs!$B$25/14)*Inputs!$B$5+(VLOOKUP("50",Inputs!$A$29:$K$33,4,FALSE()))*(Inputs!$B$25/14)*(0.982*Inputs!$B$6+(1-0.982)*Inputs!$B$7)+(VLOOKUP("50",Inputs!$A$29:$K$33,5,FALSE()))*(Inputs!$B$25/14)*(Inputs!$B$11*Inputs!$B$9+(1-Inputs!$B$11)*Inputs!$B$8))+Inputs!$B$18)+(1-C144)*(((INDEX(Inputs!$A$37:$C$37,1,1))*(Inputs!$B$25/14)*Inputs!$B$5+(INDEX(Inputs!$A$37:$C$37,1,2))*(Inputs!$B$25/14)*(0.982*Inputs!$B$6+(1-0.982)*Inputs!$B$7)+(INDEX(Inputs!$A$37:$C$37,1,3))*(Inputs!$B$25/14)*(Inputs!$B$11*Inputs!$B$9+(1-Inputs!$B$11)*Inputs!$B$8))))</f>
        <v>344.246114828571</v>
      </c>
      <c r="E144" s="25" t="n">
        <f aca="false">0</f>
        <v>0</v>
      </c>
      <c r="F144" s="26" t="n">
        <f aca="false">((INDEX(Inputs!$A$37:$C$37,1,1))*(Inputs!$B$25/14)*Inputs!$B$5+(INDEX(Inputs!$A$37:$C$37,1,2))*(Inputs!$B$25/14)*(0.982*Inputs!$B$6+(1-0.982)*Inputs!$B$7)+(INDEX(Inputs!$A$37:$C$37,1,3))*(Inputs!$B$25/14)*(Inputs!$B$11*Inputs!$B$9+(1-Inputs!$B$11)*Inputs!$B$8))</f>
        <v>351.354302901786</v>
      </c>
    </row>
    <row r="145" customFormat="false" ht="15" hidden="false" customHeight="true" outlineLevel="0" collapsed="false">
      <c r="A145" s="27" t="s">
        <v>201</v>
      </c>
      <c r="D145" s="29" t="n">
        <f aca="false">SUM(D133:D144)-SUM(F133:F144)</f>
        <v>-529.245324338375</v>
      </c>
    </row>
    <row r="147" customFormat="false" ht="15" hidden="false" customHeight="true" outlineLevel="0" collapsed="false">
      <c r="A147" s="27" t="s">
        <v>209</v>
      </c>
    </row>
    <row r="148" customFormat="false" ht="21.75" hidden="false" customHeight="true" outlineLevel="0" collapsed="false">
      <c r="A148" s="43" t="s">
        <v>92</v>
      </c>
      <c r="B148" s="43" t="s">
        <v>145</v>
      </c>
      <c r="C148" s="43" t="s">
        <v>146</v>
      </c>
      <c r="D148" s="43" t="s">
        <v>147</v>
      </c>
      <c r="E148" s="43" t="s">
        <v>148</v>
      </c>
      <c r="F148" s="43" t="s">
        <v>149</v>
      </c>
    </row>
    <row r="149" customFormat="false" ht="15" hidden="false" customHeight="true" outlineLevel="0" collapsed="false">
      <c r="A149" s="23" t="n">
        <v>1</v>
      </c>
      <c r="B149" s="24" t="b">
        <f aca="false">A149&lt;=Inputs!$B$17</f>
        <v>1</v>
      </c>
      <c r="C149" s="25" t="n">
        <f aca="false">VLOOKUP("50",Inputs!$A$29:$K$33,2,FALSE())</f>
        <v>0.4</v>
      </c>
      <c r="D149" s="26" t="n">
        <f aca="false">IF(B149,C149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149)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149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149)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152.755114588393</v>
      </c>
      <c r="E149" s="25" t="n">
        <f aca="false">Inputs!$B$21</f>
        <v>0.083</v>
      </c>
      <c r="F149" s="26" t="n">
        <f aca="false">E149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149)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150" customFormat="false" ht="15" hidden="false" customHeight="true" outlineLevel="0" collapsed="false">
      <c r="A150" s="23" t="n">
        <v>2</v>
      </c>
      <c r="B150" s="24" t="b">
        <f aca="false">A150&lt;=Inputs!$B$17</f>
        <v>1</v>
      </c>
      <c r="C150" s="25" t="n">
        <f aca="false">IF(A150=2,C149*(1-(Inputs!$B$22)),C149)</f>
        <v>0.276</v>
      </c>
      <c r="D150" s="26" t="n">
        <f aca="false">IF(B150,C150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150)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161.726081965679</v>
      </c>
      <c r="E150" s="25" t="n">
        <f aca="false">0</f>
        <v>0</v>
      </c>
      <c r="F15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1" customFormat="false" ht="15" hidden="false" customHeight="true" outlineLevel="0" collapsed="false">
      <c r="A151" s="23" t="n">
        <v>3</v>
      </c>
      <c r="B151" s="24" t="b">
        <f aca="false">A151&lt;=Inputs!$B$17</f>
        <v>1</v>
      </c>
      <c r="C151" s="25" t="n">
        <f aca="false">IF(A151=2,C150*(1-(Inputs!$B$22)),C150)</f>
        <v>0.276</v>
      </c>
      <c r="D151" s="26" t="n">
        <f aca="false">IF(B151,C151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151)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161.726081965679</v>
      </c>
      <c r="E151" s="25" t="n">
        <f aca="false">0</f>
        <v>0</v>
      </c>
      <c r="F15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2" customFormat="false" ht="15" hidden="false" customHeight="true" outlineLevel="0" collapsed="false">
      <c r="A152" s="23" t="n">
        <v>4</v>
      </c>
      <c r="B152" s="24" t="b">
        <f aca="false">A152&lt;=Inputs!$B$17</f>
        <v>0</v>
      </c>
      <c r="C152" s="25" t="n">
        <f aca="false">IF(A152=2,C151*(1-(Inputs!$B$22)),C151)</f>
        <v>0.276</v>
      </c>
      <c r="D152" s="26" t="n">
        <f aca="false">IF(B152,C152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152)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2" s="25" t="n">
        <f aca="false">0</f>
        <v>0</v>
      </c>
      <c r="F15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3" customFormat="false" ht="15" hidden="false" customHeight="true" outlineLevel="0" collapsed="false">
      <c r="A153" s="23" t="n">
        <v>5</v>
      </c>
      <c r="B153" s="24" t="b">
        <f aca="false">A153&lt;=Inputs!$B$17</f>
        <v>0</v>
      </c>
      <c r="C153" s="25" t="n">
        <f aca="false">IF(A153=2,C152*(1-(Inputs!$B$22)),C152)</f>
        <v>0.276</v>
      </c>
      <c r="D153" s="26" t="n">
        <f aca="false">IF(B153,C153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153)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3" s="25" t="n">
        <f aca="false">0</f>
        <v>0</v>
      </c>
      <c r="F15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4" customFormat="false" ht="15" hidden="false" customHeight="true" outlineLevel="0" collapsed="false">
      <c r="A154" s="23" t="n">
        <v>6</v>
      </c>
      <c r="B154" s="24" t="b">
        <f aca="false">A154&lt;=Inputs!$B$17</f>
        <v>0</v>
      </c>
      <c r="C154" s="25" t="n">
        <f aca="false">IF(A154=2,C153*(1-(Inputs!$B$22)),C153)</f>
        <v>0.276</v>
      </c>
      <c r="D154" s="26" t="n">
        <f aca="false">IF(B154,C154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154)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4" s="25" t="n">
        <f aca="false">0</f>
        <v>0</v>
      </c>
      <c r="F15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5" customFormat="false" ht="15" hidden="false" customHeight="true" outlineLevel="0" collapsed="false">
      <c r="A155" s="23" t="n">
        <v>7</v>
      </c>
      <c r="B155" s="24" t="b">
        <f aca="false">A155&lt;=Inputs!$B$17</f>
        <v>0</v>
      </c>
      <c r="C155" s="25" t="n">
        <f aca="false">IF(A155=2,C154*(1-(Inputs!$B$22)),C154)</f>
        <v>0.276</v>
      </c>
      <c r="D155" s="26" t="n">
        <f aca="false">IF(B155,C155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155)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5" s="25" t="n">
        <f aca="false">0</f>
        <v>0</v>
      </c>
      <c r="F15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6" customFormat="false" ht="15" hidden="false" customHeight="true" outlineLevel="0" collapsed="false">
      <c r="A156" s="23" t="n">
        <v>8</v>
      </c>
      <c r="B156" s="24" t="b">
        <f aca="false">A156&lt;=Inputs!$B$17</f>
        <v>0</v>
      </c>
      <c r="C156" s="25" t="n">
        <f aca="false">IF(A156=2,C155*(1-(Inputs!$B$22)),C155)</f>
        <v>0.276</v>
      </c>
      <c r="D156" s="26" t="n">
        <f aca="false">IF(B156,C156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156)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6" s="25" t="n">
        <f aca="false">0</f>
        <v>0</v>
      </c>
      <c r="F15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7" customFormat="false" ht="15" hidden="false" customHeight="true" outlineLevel="0" collapsed="false">
      <c r="A157" s="23" t="n">
        <v>9</v>
      </c>
      <c r="B157" s="24" t="b">
        <f aca="false">A157&lt;=Inputs!$B$17</f>
        <v>0</v>
      </c>
      <c r="C157" s="25" t="n">
        <f aca="false">IF(A157=2,C156*(1-(Inputs!$B$22)),C156)</f>
        <v>0.276</v>
      </c>
      <c r="D157" s="26" t="n">
        <f aca="false">IF(B157,C157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157)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7" s="25" t="n">
        <f aca="false">0</f>
        <v>0</v>
      </c>
      <c r="F15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8" customFormat="false" ht="15" hidden="false" customHeight="true" outlineLevel="0" collapsed="false">
      <c r="A158" s="23" t="n">
        <v>10</v>
      </c>
      <c r="B158" s="24" t="b">
        <f aca="false">A158&lt;=Inputs!$B$17</f>
        <v>0</v>
      </c>
      <c r="C158" s="25" t="n">
        <f aca="false">IF(A158=2,C157*(1-(Inputs!$B$22)),C157)</f>
        <v>0.276</v>
      </c>
      <c r="D158" s="26" t="n">
        <f aca="false">IF(B158,C158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158)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8" s="25" t="n">
        <f aca="false">0</f>
        <v>0</v>
      </c>
      <c r="F15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59" customFormat="false" ht="15" hidden="false" customHeight="true" outlineLevel="0" collapsed="false">
      <c r="A159" s="23" t="n">
        <v>11</v>
      </c>
      <c r="B159" s="24" t="b">
        <f aca="false">A159&lt;=Inputs!$B$17</f>
        <v>0</v>
      </c>
      <c r="C159" s="25" t="n">
        <f aca="false">IF(A159=2,C158*(1-(Inputs!$B$22)),C158)</f>
        <v>0.276</v>
      </c>
      <c r="D159" s="26" t="n">
        <f aca="false">IF(B159,C159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159)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159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159)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59" s="25" t="n">
        <f aca="false">0</f>
        <v>0</v>
      </c>
      <c r="F15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60" customFormat="false" ht="15" hidden="false" customHeight="true" outlineLevel="0" collapsed="false">
      <c r="A160" s="23" t="n">
        <v>12</v>
      </c>
      <c r="B160" s="24" t="b">
        <f aca="false">A160&lt;=Inputs!$B$17</f>
        <v>0</v>
      </c>
      <c r="C160" s="25" t="n">
        <f aca="false">IF(A160=2,C159*(1-(Inputs!$B$22)),C159)</f>
        <v>0.276</v>
      </c>
      <c r="D160" s="26" t="n">
        <f aca="false">IF(B160,C160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160)*((0.32)*(Inputs!$B$25/14)*Inputs!$B$5+(VLOOKUP("50",Inputs!$A$29:$K$33,7,FALSE()))*(Inputs!$B$25/14)*(Inputs!$B$10*Inputs!$B$6+(1-Inputs!$B$10)*Inputs!$B$7)+(VLOOKUP("50",Inputs!$A$29:$K$33,8,FALSE()))*(Inputs!$B$25/14)*(Inputs!$B$11*Inputs!$B$9+(1-Inputs!$B$11)*Inputs!$B$8)),C160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160)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60" s="25" t="n">
        <f aca="false">0</f>
        <v>0</v>
      </c>
      <c r="F16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61" customFormat="false" ht="15" hidden="false" customHeight="true" outlineLevel="0" collapsed="false">
      <c r="A161" s="27" t="s">
        <v>201</v>
      </c>
      <c r="D161" s="29" t="n">
        <f aca="false">SUM(D149:D160)-SUM(F149:F160)</f>
        <v>-513.09570294967</v>
      </c>
    </row>
    <row r="163" customFormat="false" ht="15" hidden="false" customHeight="true" outlineLevel="0" collapsed="false">
      <c r="A163" s="27" t="s">
        <v>210</v>
      </c>
    </row>
    <row r="164" customFormat="false" ht="21.75" hidden="false" customHeight="true" outlineLevel="0" collapsed="false">
      <c r="A164" s="43" t="s">
        <v>92</v>
      </c>
      <c r="B164" s="43" t="s">
        <v>145</v>
      </c>
      <c r="C164" s="43" t="s">
        <v>146</v>
      </c>
      <c r="D164" s="43" t="s">
        <v>147</v>
      </c>
      <c r="E164" s="43" t="s">
        <v>148</v>
      </c>
      <c r="F164" s="43" t="s">
        <v>149</v>
      </c>
    </row>
    <row r="165" customFormat="false" ht="15" hidden="false" customHeight="true" outlineLevel="0" collapsed="false">
      <c r="A165" s="23" t="n">
        <v>1</v>
      </c>
      <c r="B165" s="24" t="b">
        <f aca="false">A165&lt;=Inputs!$B$17</f>
        <v>1</v>
      </c>
      <c r="C165" s="25" t="n">
        <f aca="false">VLOOKUP("50",Inputs!$A$29:$K$33,2,FALSE())</f>
        <v>0.4</v>
      </c>
      <c r="D165" s="26" t="n">
        <f aca="false">IF(B165,C165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165)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165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165)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204.862723159821</v>
      </c>
      <c r="E165" s="25" t="n">
        <f aca="false">Inputs!$B$21</f>
        <v>0.083</v>
      </c>
      <c r="F165" s="26" t="n">
        <f aca="false">E165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165)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166" customFormat="false" ht="15" hidden="false" customHeight="true" outlineLevel="0" collapsed="false">
      <c r="A166" s="23" t="n">
        <v>2</v>
      </c>
      <c r="B166" s="24" t="b">
        <f aca="false">A166&lt;=Inputs!$B$17</f>
        <v>1</v>
      </c>
      <c r="C166" s="25" t="n">
        <f aca="false">IF(A166=2,C165*(1-(Inputs!$B$22)),C165)</f>
        <v>0.276</v>
      </c>
      <c r="D166" s="26" t="n">
        <f aca="false">IF(B166,C166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166)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166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166)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224.602596308536</v>
      </c>
      <c r="E166" s="25" t="n">
        <f aca="false">0</f>
        <v>0</v>
      </c>
      <c r="F16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67" customFormat="false" ht="15" hidden="false" customHeight="true" outlineLevel="0" collapsed="false">
      <c r="A167" s="23" t="n">
        <v>3</v>
      </c>
      <c r="B167" s="24" t="b">
        <f aca="false">A167&lt;=Inputs!$B$17</f>
        <v>1</v>
      </c>
      <c r="C167" s="25" t="n">
        <f aca="false">IF(A167=2,C166*(1-(Inputs!$B$22)),C166)</f>
        <v>0.276</v>
      </c>
      <c r="D167" s="26" t="n">
        <f aca="false">IF(B167,C167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167)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167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167)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224.602596308536</v>
      </c>
      <c r="E167" s="25" t="n">
        <f aca="false">0</f>
        <v>0</v>
      </c>
      <c r="F16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68" customFormat="false" ht="15" hidden="false" customHeight="true" outlineLevel="0" collapsed="false">
      <c r="A168" s="23" t="n">
        <v>4</v>
      </c>
      <c r="B168" s="24" t="b">
        <f aca="false">A168&lt;=Inputs!$B$17</f>
        <v>0</v>
      </c>
      <c r="C168" s="25" t="n">
        <f aca="false">IF(A168=2,C167*(1-(Inputs!$B$22)),C167)</f>
        <v>0.276</v>
      </c>
      <c r="D168" s="26" t="n">
        <f aca="false">IF(B168,C168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168)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168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168)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68" s="25" t="n">
        <f aca="false">0</f>
        <v>0</v>
      </c>
      <c r="F16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69" customFormat="false" ht="15" hidden="false" customHeight="true" outlineLevel="0" collapsed="false">
      <c r="A169" s="23" t="n">
        <v>5</v>
      </c>
      <c r="B169" s="24" t="b">
        <f aca="false">A169&lt;=Inputs!$B$17</f>
        <v>0</v>
      </c>
      <c r="C169" s="25" t="n">
        <f aca="false">IF(A169=2,C168*(1-(Inputs!$B$22)),C168)</f>
        <v>0.276</v>
      </c>
      <c r="D169" s="26" t="n">
        <f aca="false">IF(B169,C169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169)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169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169)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69" s="25" t="n">
        <f aca="false">0</f>
        <v>0</v>
      </c>
      <c r="F16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0" customFormat="false" ht="15" hidden="false" customHeight="true" outlineLevel="0" collapsed="false">
      <c r="A170" s="23" t="n">
        <v>6</v>
      </c>
      <c r="B170" s="24" t="b">
        <f aca="false">A170&lt;=Inputs!$B$17</f>
        <v>0</v>
      </c>
      <c r="C170" s="25" t="n">
        <f aca="false">IF(A170=2,C169*(1-(Inputs!$B$22)),C169)</f>
        <v>0.276</v>
      </c>
      <c r="D170" s="26" t="n">
        <f aca="false">IF(B170,C170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170)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0" s="25" t="n">
        <f aca="false">0</f>
        <v>0</v>
      </c>
      <c r="F17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1" customFormat="false" ht="15" hidden="false" customHeight="true" outlineLevel="0" collapsed="false">
      <c r="A171" s="23" t="n">
        <v>7</v>
      </c>
      <c r="B171" s="24" t="b">
        <f aca="false">A171&lt;=Inputs!$B$17</f>
        <v>0</v>
      </c>
      <c r="C171" s="25" t="n">
        <f aca="false">IF(A171=2,C170*(1-(Inputs!$B$22)),C170)</f>
        <v>0.276</v>
      </c>
      <c r="D171" s="26" t="n">
        <f aca="false">IF(B171,C171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171)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1" s="25" t="n">
        <f aca="false">0</f>
        <v>0</v>
      </c>
      <c r="F17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2" customFormat="false" ht="15" hidden="false" customHeight="true" outlineLevel="0" collapsed="false">
      <c r="A172" s="23" t="n">
        <v>8</v>
      </c>
      <c r="B172" s="24" t="b">
        <f aca="false">A172&lt;=Inputs!$B$17</f>
        <v>0</v>
      </c>
      <c r="C172" s="25" t="n">
        <f aca="false">IF(A172=2,C171*(1-(Inputs!$B$22)),C171)</f>
        <v>0.276</v>
      </c>
      <c r="D172" s="26" t="n">
        <f aca="false">IF(B172,C172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172)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2" s="25" t="n">
        <f aca="false">0</f>
        <v>0</v>
      </c>
      <c r="F17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3" customFormat="false" ht="15" hidden="false" customHeight="true" outlineLevel="0" collapsed="false">
      <c r="A173" s="23" t="n">
        <v>9</v>
      </c>
      <c r="B173" s="24" t="b">
        <f aca="false">A173&lt;=Inputs!$B$17</f>
        <v>0</v>
      </c>
      <c r="C173" s="25" t="n">
        <f aca="false">IF(A173=2,C172*(1-(Inputs!$B$22)),C172)</f>
        <v>0.276</v>
      </c>
      <c r="D173" s="26" t="n">
        <f aca="false">IF(B173,C173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173)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3" s="25" t="n">
        <f aca="false">0</f>
        <v>0</v>
      </c>
      <c r="F17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4" customFormat="false" ht="15" hidden="false" customHeight="true" outlineLevel="0" collapsed="false">
      <c r="A174" s="23" t="n">
        <v>10</v>
      </c>
      <c r="B174" s="24" t="b">
        <f aca="false">A174&lt;=Inputs!$B$17</f>
        <v>0</v>
      </c>
      <c r="C174" s="25" t="n">
        <f aca="false">IF(A174=2,C173*(1-(Inputs!$B$22)),C173)</f>
        <v>0.276</v>
      </c>
      <c r="D174" s="26" t="n">
        <f aca="false">IF(B174,C174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174)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4" s="25" t="n">
        <f aca="false">0</f>
        <v>0</v>
      </c>
      <c r="F17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5" customFormat="false" ht="15" hidden="false" customHeight="true" outlineLevel="0" collapsed="false">
      <c r="A175" s="23" t="n">
        <v>11</v>
      </c>
      <c r="B175" s="24" t="b">
        <f aca="false">A175&lt;=Inputs!$B$17</f>
        <v>0</v>
      </c>
      <c r="C175" s="25" t="n">
        <f aca="false">IF(A175=2,C174*(1-(Inputs!$B$22)),C174)</f>
        <v>0.276</v>
      </c>
      <c r="D175" s="26" t="n">
        <f aca="false">IF(B175,C175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175)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5" s="25" t="n">
        <f aca="false">0</f>
        <v>0</v>
      </c>
      <c r="F17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6" customFormat="false" ht="15" hidden="false" customHeight="true" outlineLevel="0" collapsed="false">
      <c r="A176" s="23" t="n">
        <v>12</v>
      </c>
      <c r="B176" s="24" t="b">
        <f aca="false">A176&lt;=Inputs!$B$17</f>
        <v>0</v>
      </c>
      <c r="C176" s="25" t="n">
        <f aca="false">IF(A176=2,C175*(1-(Inputs!$B$22)),C175)</f>
        <v>0.276</v>
      </c>
      <c r="D176" s="26" t="n">
        <f aca="false">IF(B176,C176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176)*((6.89)*(Inputs!$B$25/14)*Inputs!$B$5+(VLOOKUP("50",Inputs!$A$29:$K$33,7,FALSE()))*(Inputs!$B$25/14)*(Inputs!$B$10*Inputs!$B$6+(1-Inputs!$B$10)*Inputs!$B$7)+(VLOOKUP("50",Inputs!$A$29:$K$33,8,FALSE()))*(Inputs!$B$25/14)*(Inputs!$B$11*Inputs!$B$9+(1-Inputs!$B$11)*Inputs!$B$8)),C176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176)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324.859284016071</v>
      </c>
      <c r="E176" s="25" t="n">
        <f aca="false">0</f>
        <v>0</v>
      </c>
      <c r="F17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177" customFormat="false" ht="15" hidden="false" customHeight="true" outlineLevel="0" collapsed="false">
      <c r="A177" s="27" t="s">
        <v>201</v>
      </c>
      <c r="D177" s="29" t="n">
        <f aca="false">SUM(D165:D176)-SUM(F165:F176)</f>
        <v>-335.235065692527</v>
      </c>
    </row>
    <row r="179" customFormat="false" ht="15" hidden="false" customHeight="true" outlineLevel="0" collapsed="false">
      <c r="A179" s="27" t="s">
        <v>211</v>
      </c>
    </row>
    <row r="180" customFormat="false" ht="21.75" hidden="false" customHeight="true" outlineLevel="0" collapsed="false">
      <c r="A180" s="43" t="s">
        <v>92</v>
      </c>
      <c r="B180" s="43" t="s">
        <v>145</v>
      </c>
      <c r="C180" s="43" t="s">
        <v>146</v>
      </c>
      <c r="D180" s="43" t="s">
        <v>147</v>
      </c>
      <c r="E180" s="43" t="s">
        <v>148</v>
      </c>
      <c r="F180" s="43" t="s">
        <v>149</v>
      </c>
    </row>
    <row r="181" customFormat="false" ht="15" hidden="false" customHeight="true" outlineLevel="0" collapsed="false">
      <c r="A181" s="23" t="n">
        <v>1</v>
      </c>
      <c r="B181" s="24" t="b">
        <f aca="false">A181&lt;=Inputs!$B$17</f>
        <v>1</v>
      </c>
      <c r="C181" s="25" t="n">
        <f aca="false">VLOOKUP("50",Inputs!$A$29:$K$33,2,FALSE())</f>
        <v>0.4</v>
      </c>
      <c r="D181" s="26" t="n">
        <f aca="false">IF(B181,C181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181)*(((0.45)*(Inputs!$B$25/14)*Inputs!$B$5+(INDEX(Inputs!$A$37:$C$37,1,2))*(Inputs!$B$25/14)*(Inputs!$B$10*Inputs!$B$6+(1-Inputs!$B$10)*Inputs!$B$7)+(INDEX(Inputs!$A$37:$C$37,1,3))*(Inputs!$B$25/14)*(Inputs!$B$11*Inputs!$B$9+(1-Inputs!$B$11)*Inputs!$B$8))))</f>
        <v>170.045006016964</v>
      </c>
      <c r="E181" s="25" t="n">
        <f aca="false">Inputs!$B$21</f>
        <v>0.083</v>
      </c>
      <c r="F181" s="26" t="n">
        <f aca="false">E181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181)*((0.45)*(Inputs!$B$25/14)*Inputs!$B$5+(INDEX(Inputs!$A$37:$C$37,1,2))*(Inputs!$B$25/14)*(Inputs!$B$10*Inputs!$B$6+(1-Inputs!$B$10)*Inputs!$B$7)+(INDEX(Inputs!$A$37:$C$37,1,3))*(Inputs!$B$25/14)*(Inputs!$B$11*Inputs!$B$9+(1-Inputs!$B$11)*Inputs!$B$8))</f>
        <v>299.17807222567</v>
      </c>
    </row>
    <row r="182" customFormat="false" ht="15" hidden="false" customHeight="true" outlineLevel="0" collapsed="false">
      <c r="A182" s="23" t="n">
        <v>2</v>
      </c>
      <c r="B182" s="24" t="b">
        <f aca="false">A182&lt;=Inputs!$B$17</f>
        <v>1</v>
      </c>
      <c r="C182" s="25" t="n">
        <f aca="false">IF(A182=2,C181*(1-(Inputs!$B$22)),C181)</f>
        <v>0.276</v>
      </c>
      <c r="D182" s="26" t="n">
        <f aca="false">IF(B182,C182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182)*(((0.45)*(Inputs!$B$25/14)*Inputs!$B$5+(INDEX(Inputs!$A$37:$C$37,1,2))*(Inputs!$B$25/14)*(Inputs!$B$10*Inputs!$B$6+(1-Inputs!$B$10)*Inputs!$B$7)+(INDEX(Inputs!$A$37:$C$37,1,3))*(Inputs!$B$25/14)*(Inputs!$B$11*Inputs!$B$9+(1-Inputs!$B$11)*Inputs!$B$8))))</f>
        <v>182.589217622821</v>
      </c>
      <c r="E182" s="25" t="n">
        <f aca="false">0</f>
        <v>0</v>
      </c>
      <c r="F182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3" customFormat="false" ht="15" hidden="false" customHeight="true" outlineLevel="0" collapsed="false">
      <c r="A183" s="23" t="n">
        <v>3</v>
      </c>
      <c r="B183" s="24" t="b">
        <f aca="false">A183&lt;=Inputs!$B$17</f>
        <v>1</v>
      </c>
      <c r="C183" s="25" t="n">
        <f aca="false">IF(A183=2,C182*(1-(Inputs!$B$22)),C182)</f>
        <v>0.276</v>
      </c>
      <c r="D183" s="26" t="n">
        <f aca="false">IF(B183,C183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183)*(((0.45)*(Inputs!$B$25/14)*Inputs!$B$5+(INDEX(Inputs!$A$37:$C$37,1,2))*(Inputs!$B$25/14)*(Inputs!$B$10*Inputs!$B$6+(1-Inputs!$B$10)*Inputs!$B$7)+(INDEX(Inputs!$A$37:$C$37,1,3))*(Inputs!$B$25/14)*(Inputs!$B$11*Inputs!$B$9+(1-Inputs!$B$11)*Inputs!$B$8))))</f>
        <v>182.589217622821</v>
      </c>
      <c r="E183" s="25" t="n">
        <f aca="false">0</f>
        <v>0</v>
      </c>
      <c r="F183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4" customFormat="false" ht="15" hidden="false" customHeight="true" outlineLevel="0" collapsed="false">
      <c r="A184" s="23" t="n">
        <v>4</v>
      </c>
      <c r="B184" s="24" t="b">
        <f aca="false">A184&lt;=Inputs!$B$17</f>
        <v>0</v>
      </c>
      <c r="C184" s="25" t="n">
        <f aca="false">IF(A184=2,C183*(1-(Inputs!$B$22)),C183)</f>
        <v>0.276</v>
      </c>
      <c r="D184" s="26" t="n">
        <f aca="false">IF(B184,C184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184)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84" s="25" t="n">
        <f aca="false">0</f>
        <v>0</v>
      </c>
      <c r="F184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5" customFormat="false" ht="15" hidden="false" customHeight="true" outlineLevel="0" collapsed="false">
      <c r="A185" s="23" t="n">
        <v>5</v>
      </c>
      <c r="B185" s="24" t="b">
        <f aca="false">A185&lt;=Inputs!$B$17</f>
        <v>0</v>
      </c>
      <c r="C185" s="25" t="n">
        <f aca="false">IF(A185=2,C184*(1-(Inputs!$B$22)),C184)</f>
        <v>0.276</v>
      </c>
      <c r="D185" s="26" t="n">
        <f aca="false">IF(B185,C185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185)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85" s="25" t="n">
        <f aca="false">0</f>
        <v>0</v>
      </c>
      <c r="F185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6" customFormat="false" ht="15" hidden="false" customHeight="true" outlineLevel="0" collapsed="false">
      <c r="A186" s="23" t="n">
        <v>6</v>
      </c>
      <c r="B186" s="24" t="b">
        <f aca="false">A186&lt;=Inputs!$B$17</f>
        <v>0</v>
      </c>
      <c r="C186" s="25" t="n">
        <f aca="false">IF(A186=2,C185*(1-(Inputs!$B$22)),C185)</f>
        <v>0.276</v>
      </c>
      <c r="D186" s="26" t="n">
        <f aca="false">IF(B186,C186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186)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86" s="25" t="n">
        <f aca="false">0</f>
        <v>0</v>
      </c>
      <c r="F186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7" customFormat="false" ht="15" hidden="false" customHeight="true" outlineLevel="0" collapsed="false">
      <c r="A187" s="23" t="n">
        <v>7</v>
      </c>
      <c r="B187" s="24" t="b">
        <f aca="false">A187&lt;=Inputs!$B$17</f>
        <v>0</v>
      </c>
      <c r="C187" s="25" t="n">
        <f aca="false">IF(A187=2,C186*(1-(Inputs!$B$22)),C186)</f>
        <v>0.276</v>
      </c>
      <c r="D187" s="26" t="n">
        <f aca="false">IF(B187,C187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187)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87" s="25" t="n">
        <f aca="false">0</f>
        <v>0</v>
      </c>
      <c r="F187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8" customFormat="false" ht="15" hidden="false" customHeight="true" outlineLevel="0" collapsed="false">
      <c r="A188" s="23" t="n">
        <v>8</v>
      </c>
      <c r="B188" s="24" t="b">
        <f aca="false">A188&lt;=Inputs!$B$17</f>
        <v>0</v>
      </c>
      <c r="C188" s="25" t="n">
        <f aca="false">IF(A188=2,C187*(1-(Inputs!$B$22)),C187)</f>
        <v>0.276</v>
      </c>
      <c r="D188" s="26" t="n">
        <f aca="false">IF(B188,C188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188)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88" s="25" t="n">
        <f aca="false">0</f>
        <v>0</v>
      </c>
      <c r="F188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89" customFormat="false" ht="15" hidden="false" customHeight="true" outlineLevel="0" collapsed="false">
      <c r="A189" s="23" t="n">
        <v>9</v>
      </c>
      <c r="B189" s="24" t="b">
        <f aca="false">A189&lt;=Inputs!$B$17</f>
        <v>0</v>
      </c>
      <c r="C189" s="25" t="n">
        <f aca="false">IF(A189=2,C188*(1-(Inputs!$B$22)),C188)</f>
        <v>0.276</v>
      </c>
      <c r="D189" s="26" t="n">
        <f aca="false">IF(B189,C189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189)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189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189)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89" s="25" t="n">
        <f aca="false">0</f>
        <v>0</v>
      </c>
      <c r="F189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90" customFormat="false" ht="15" hidden="false" customHeight="true" outlineLevel="0" collapsed="false">
      <c r="A190" s="23" t="n">
        <v>10</v>
      </c>
      <c r="B190" s="24" t="b">
        <f aca="false">A190&lt;=Inputs!$B$17</f>
        <v>0</v>
      </c>
      <c r="C190" s="25" t="n">
        <f aca="false">IF(A190=2,C189*(1-(Inputs!$B$22)),C189)</f>
        <v>0.276</v>
      </c>
      <c r="D190" s="26" t="n">
        <f aca="false">IF(B190,C190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190)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190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190)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90" s="25" t="n">
        <f aca="false">0</f>
        <v>0</v>
      </c>
      <c r="F190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91" customFormat="false" ht="15" hidden="false" customHeight="true" outlineLevel="0" collapsed="false">
      <c r="A191" s="23" t="n">
        <v>11</v>
      </c>
      <c r="B191" s="24" t="b">
        <f aca="false">A191&lt;=Inputs!$B$17</f>
        <v>0</v>
      </c>
      <c r="C191" s="25" t="n">
        <f aca="false">IF(A191=2,C190*(1-(Inputs!$B$22)),C190)</f>
        <v>0.276</v>
      </c>
      <c r="D191" s="26" t="n">
        <f aca="false">IF(B191,C191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191)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191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191)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91" s="25" t="n">
        <f aca="false">0</f>
        <v>0</v>
      </c>
      <c r="F191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92" customFormat="false" ht="15" hidden="false" customHeight="true" outlineLevel="0" collapsed="false">
      <c r="A192" s="23" t="n">
        <v>12</v>
      </c>
      <c r="B192" s="24" t="b">
        <f aca="false">A192&lt;=Inputs!$B$17</f>
        <v>0</v>
      </c>
      <c r="C192" s="25" t="n">
        <f aca="false">IF(A192=2,C191*(1-(Inputs!$B$22)),C191)</f>
        <v>0.276</v>
      </c>
      <c r="D192" s="26" t="n">
        <f aca="false">IF(B192,C192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192)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192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192)*(((0.45)*(Inputs!$B$25/14)*Inputs!$B$5+(INDEX(Inputs!$A$37:$C$37,1,2))*(Inputs!$B$25/14)*(Inputs!$B$10*Inputs!$B$6+(1-Inputs!$B$10)*Inputs!$B$7)+(INDEX(Inputs!$A$37:$C$37,1,3))*(Inputs!$B$25/14)*(Inputs!$B$11*Inputs!$B$9+(1-Inputs!$B$11)*Inputs!$B$8))))</f>
        <v>316.724575158929</v>
      </c>
      <c r="E192" s="25" t="n">
        <f aca="false">0</f>
        <v>0</v>
      </c>
      <c r="F192" s="26" t="n">
        <f aca="false">((0.45)*(Inputs!$B$25/14)*Inputs!$B$5+(INDEX(Inputs!$A$37:$C$37,1,2))*(Inputs!$B$25/14)*(Inputs!$B$10*Inputs!$B$6+(1-Inputs!$B$10)*Inputs!$B$7)+(INDEX(Inputs!$A$37:$C$37,1,3))*(Inputs!$B$25/14)*(Inputs!$B$11*Inputs!$B$9+(1-Inputs!$B$11)*Inputs!$B$8))</f>
        <v>316.36014609375</v>
      </c>
    </row>
    <row r="193" customFormat="false" ht="15" hidden="false" customHeight="true" outlineLevel="0" collapsed="false">
      <c r="A193" s="27" t="s">
        <v>201</v>
      </c>
      <c r="D193" s="29" t="n">
        <f aca="false">SUM(D181:D192)-SUM(F181:F192)</f>
        <v>-393.395061563955</v>
      </c>
    </row>
    <row r="195" customFormat="false" ht="15" hidden="false" customHeight="true" outlineLevel="0" collapsed="false">
      <c r="A195" s="27" t="s">
        <v>212</v>
      </c>
    </row>
    <row r="196" customFormat="false" ht="21.75" hidden="false" customHeight="true" outlineLevel="0" collapsed="false">
      <c r="A196" s="43" t="s">
        <v>92</v>
      </c>
      <c r="B196" s="43" t="s">
        <v>145</v>
      </c>
      <c r="C196" s="43" t="s">
        <v>146</v>
      </c>
      <c r="D196" s="43" t="s">
        <v>147</v>
      </c>
      <c r="E196" s="43" t="s">
        <v>148</v>
      </c>
      <c r="F196" s="43" t="s">
        <v>149</v>
      </c>
    </row>
    <row r="197" customFormat="false" ht="15" hidden="false" customHeight="true" outlineLevel="0" collapsed="false">
      <c r="A197" s="23" t="n">
        <v>1</v>
      </c>
      <c r="B197" s="24" t="b">
        <f aca="false">A197&lt;=Inputs!$B$17</f>
        <v>1</v>
      </c>
      <c r="C197" s="25" t="n">
        <f aca="false">VLOOKUP("50",Inputs!$A$29:$K$33,2,FALSE())</f>
        <v>0.4</v>
      </c>
      <c r="D197" s="26" t="n">
        <f aca="false">IF(B197,C197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197)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197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197)*(((2.59)*(Inputs!$B$25/14)*Inputs!$B$5+(INDEX(Inputs!$A$37:$C$37,1,2))*(Inputs!$B$25/14)*(Inputs!$B$10*Inputs!$B$6+(1-Inputs!$B$10)*Inputs!$B$7)+(INDEX(Inputs!$A$37:$C$37,1,3))*(Inputs!$B$25/14)*(Inputs!$B$11*Inputs!$B$9+(1-Inputs!$B$11)*Inputs!$B$8))))</f>
        <v>170.045006016964</v>
      </c>
      <c r="E197" s="25" t="n">
        <f aca="false">Inputs!$B$21</f>
        <v>0.083</v>
      </c>
      <c r="F197" s="26" t="n">
        <f aca="false">E197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197)*((2.59)*(Inputs!$B$25/14)*Inputs!$B$5+(INDEX(Inputs!$A$37:$C$37,1,2))*(Inputs!$B$25/14)*(Inputs!$B$10*Inputs!$B$6+(1-Inputs!$B$10)*Inputs!$B$7)+(INDEX(Inputs!$A$37:$C$37,1,3))*(Inputs!$B$25/14)*(Inputs!$B$11*Inputs!$B$9+(1-Inputs!$B$11)*Inputs!$B$8))</f>
        <v>325.11793242567</v>
      </c>
    </row>
    <row r="198" customFormat="false" ht="15" hidden="false" customHeight="true" outlineLevel="0" collapsed="false">
      <c r="A198" s="23" t="n">
        <v>2</v>
      </c>
      <c r="B198" s="24" t="b">
        <f aca="false">A198&lt;=Inputs!$B$17</f>
        <v>1</v>
      </c>
      <c r="C198" s="25" t="n">
        <f aca="false">IF(A198=2,C197*(1-(Inputs!$B$22)),C197)</f>
        <v>0.276</v>
      </c>
      <c r="D198" s="26" t="n">
        <f aca="false">IF(B198,C198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198)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198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198)*(((2.59)*(Inputs!$B$25/14)*Inputs!$B$5+(INDEX(Inputs!$A$37:$C$37,1,2))*(Inputs!$B$25/14)*(Inputs!$B$10*Inputs!$B$6+(1-Inputs!$B$10)*Inputs!$B$7)+(INDEX(Inputs!$A$37:$C$37,1,3))*(Inputs!$B$25/14)*(Inputs!$B$11*Inputs!$B$9+(1-Inputs!$B$11)*Inputs!$B$8))))</f>
        <v>182.589217622821</v>
      </c>
      <c r="E198" s="25" t="n">
        <f aca="false">0</f>
        <v>0</v>
      </c>
      <c r="F198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199" customFormat="false" ht="15" hidden="false" customHeight="true" outlineLevel="0" collapsed="false">
      <c r="A199" s="23" t="n">
        <v>3</v>
      </c>
      <c r="B199" s="24" t="b">
        <f aca="false">A199&lt;=Inputs!$B$17</f>
        <v>1</v>
      </c>
      <c r="C199" s="25" t="n">
        <f aca="false">IF(A199=2,C198*(1-(Inputs!$B$22)),C198)</f>
        <v>0.276</v>
      </c>
      <c r="D199" s="26" t="n">
        <f aca="false">IF(B199,C199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199)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199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199)*(((2.59)*(Inputs!$B$25/14)*Inputs!$B$5+(INDEX(Inputs!$A$37:$C$37,1,2))*(Inputs!$B$25/14)*(Inputs!$B$10*Inputs!$B$6+(1-Inputs!$B$10)*Inputs!$B$7)+(INDEX(Inputs!$A$37:$C$37,1,3))*(Inputs!$B$25/14)*(Inputs!$B$11*Inputs!$B$9+(1-Inputs!$B$11)*Inputs!$B$8))))</f>
        <v>182.589217622821</v>
      </c>
      <c r="E199" s="25" t="n">
        <f aca="false">0</f>
        <v>0</v>
      </c>
      <c r="F199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0" customFormat="false" ht="15" hidden="false" customHeight="true" outlineLevel="0" collapsed="false">
      <c r="A200" s="23" t="n">
        <v>4</v>
      </c>
      <c r="B200" s="24" t="b">
        <f aca="false">A200&lt;=Inputs!$B$17</f>
        <v>0</v>
      </c>
      <c r="C200" s="25" t="n">
        <f aca="false">IF(A200=2,C199*(1-(Inputs!$B$22)),C199)</f>
        <v>0.276</v>
      </c>
      <c r="D200" s="26" t="n">
        <f aca="false">IF(B200,C200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200)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0" s="25" t="n">
        <f aca="false">0</f>
        <v>0</v>
      </c>
      <c r="F200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1" customFormat="false" ht="15" hidden="false" customHeight="true" outlineLevel="0" collapsed="false">
      <c r="A201" s="23" t="n">
        <v>5</v>
      </c>
      <c r="B201" s="24" t="b">
        <f aca="false">A201&lt;=Inputs!$B$17</f>
        <v>0</v>
      </c>
      <c r="C201" s="25" t="n">
        <f aca="false">IF(A201=2,C200*(1-(Inputs!$B$22)),C200)</f>
        <v>0.276</v>
      </c>
      <c r="D201" s="26" t="n">
        <f aca="false">IF(B201,C201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201)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1" s="25" t="n">
        <f aca="false">0</f>
        <v>0</v>
      </c>
      <c r="F201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2" customFormat="false" ht="15" hidden="false" customHeight="true" outlineLevel="0" collapsed="false">
      <c r="A202" s="23" t="n">
        <v>6</v>
      </c>
      <c r="B202" s="24" t="b">
        <f aca="false">A202&lt;=Inputs!$B$17</f>
        <v>0</v>
      </c>
      <c r="C202" s="25" t="n">
        <f aca="false">IF(A202=2,C201*(1-(Inputs!$B$22)),C201)</f>
        <v>0.276</v>
      </c>
      <c r="D202" s="26" t="n">
        <f aca="false">IF(B202,C202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202)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2" s="25" t="n">
        <f aca="false">0</f>
        <v>0</v>
      </c>
      <c r="F202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3" customFormat="false" ht="15" hidden="false" customHeight="true" outlineLevel="0" collapsed="false">
      <c r="A203" s="23" t="n">
        <v>7</v>
      </c>
      <c r="B203" s="24" t="b">
        <f aca="false">A203&lt;=Inputs!$B$17</f>
        <v>0</v>
      </c>
      <c r="C203" s="25" t="n">
        <f aca="false">IF(A203=2,C202*(1-(Inputs!$B$22)),C202)</f>
        <v>0.276</v>
      </c>
      <c r="D203" s="26" t="n">
        <f aca="false">IF(B203,C203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203)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3" s="25" t="n">
        <f aca="false">0</f>
        <v>0</v>
      </c>
      <c r="F203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4" customFormat="false" ht="15" hidden="false" customHeight="true" outlineLevel="0" collapsed="false">
      <c r="A204" s="23" t="n">
        <v>8</v>
      </c>
      <c r="B204" s="24" t="b">
        <f aca="false">A204&lt;=Inputs!$B$17</f>
        <v>0</v>
      </c>
      <c r="C204" s="25" t="n">
        <f aca="false">IF(A204=2,C203*(1-(Inputs!$B$22)),C203)</f>
        <v>0.276</v>
      </c>
      <c r="D204" s="26" t="n">
        <f aca="false">IF(B204,C204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204)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4" s="25" t="n">
        <f aca="false">0</f>
        <v>0</v>
      </c>
      <c r="F204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5" customFormat="false" ht="15" hidden="false" customHeight="true" outlineLevel="0" collapsed="false">
      <c r="A205" s="23" t="n">
        <v>9</v>
      </c>
      <c r="B205" s="24" t="b">
        <f aca="false">A205&lt;=Inputs!$B$17</f>
        <v>0</v>
      </c>
      <c r="C205" s="25" t="n">
        <f aca="false">IF(A205=2,C204*(1-(Inputs!$B$22)),C204)</f>
        <v>0.276</v>
      </c>
      <c r="D205" s="26" t="n">
        <f aca="false">IF(B205,C205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205)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5" s="25" t="n">
        <f aca="false">0</f>
        <v>0</v>
      </c>
      <c r="F205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6" customFormat="false" ht="15" hidden="false" customHeight="true" outlineLevel="0" collapsed="false">
      <c r="A206" s="23" t="n">
        <v>10</v>
      </c>
      <c r="B206" s="24" t="b">
        <f aca="false">A206&lt;=Inputs!$B$17</f>
        <v>0</v>
      </c>
      <c r="C206" s="25" t="n">
        <f aca="false">IF(A206=2,C205*(1-(Inputs!$B$22)),C205)</f>
        <v>0.276</v>
      </c>
      <c r="D206" s="26" t="n">
        <f aca="false">IF(B206,C206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206)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6" s="25" t="n">
        <f aca="false">0</f>
        <v>0</v>
      </c>
      <c r="F206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7" customFormat="false" ht="15" hidden="false" customHeight="true" outlineLevel="0" collapsed="false">
      <c r="A207" s="23" t="n">
        <v>11</v>
      </c>
      <c r="B207" s="24" t="b">
        <f aca="false">A207&lt;=Inputs!$B$17</f>
        <v>0</v>
      </c>
      <c r="C207" s="25" t="n">
        <f aca="false">IF(A207=2,C206*(1-(Inputs!$B$22)),C206)</f>
        <v>0.276</v>
      </c>
      <c r="D207" s="26" t="n">
        <f aca="false">IF(B207,C207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207)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7" s="25" t="n">
        <f aca="false">0</f>
        <v>0</v>
      </c>
      <c r="F207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8" customFormat="false" ht="15" hidden="false" customHeight="true" outlineLevel="0" collapsed="false">
      <c r="A208" s="23" t="n">
        <v>12</v>
      </c>
      <c r="B208" s="24" t="b">
        <f aca="false">A208&lt;=Inputs!$B$17</f>
        <v>0</v>
      </c>
      <c r="C208" s="25" t="n">
        <f aca="false">IF(A208=2,C207*(1-(Inputs!$B$22)),C207)</f>
        <v>0.276</v>
      </c>
      <c r="D208" s="26" t="n">
        <f aca="false">IF(B208,C208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208)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208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208)*(((2.59)*(Inputs!$B$25/14)*Inputs!$B$5+(INDEX(Inputs!$A$37:$C$37,1,2))*(Inputs!$B$25/14)*(Inputs!$B$10*Inputs!$B$6+(1-Inputs!$B$10)*Inputs!$B$7)+(INDEX(Inputs!$A$37:$C$37,1,3))*(Inputs!$B$25/14)*(Inputs!$B$11*Inputs!$B$9+(1-Inputs!$B$11)*Inputs!$B$8))))</f>
        <v>337.2049009875</v>
      </c>
      <c r="E208" s="25" t="n">
        <f aca="false">0</f>
        <v>0</v>
      </c>
      <c r="F208" s="26" t="n">
        <f aca="false">((2.59)*(Inputs!$B$25/14)*Inputs!$B$5+(INDEX(Inputs!$A$37:$C$37,1,2))*(Inputs!$B$25/14)*(Inputs!$B$10*Inputs!$B$6+(1-Inputs!$B$10)*Inputs!$B$7)+(INDEX(Inputs!$A$37:$C$37,1,3))*(Inputs!$B$25/14)*(Inputs!$B$11*Inputs!$B$9+(1-Inputs!$B$11)*Inputs!$B$8))</f>
        <v>344.647888950893</v>
      </c>
    </row>
    <row r="209" customFormat="false" ht="15" hidden="false" customHeight="true" outlineLevel="0" collapsed="false">
      <c r="A209" s="27" t="s">
        <v>201</v>
      </c>
      <c r="D209" s="29" t="n">
        <f aca="false">SUM(D197:D208)-SUM(F197:F208)</f>
        <v>-546.177160735384</v>
      </c>
    </row>
    <row r="211" customFormat="false" ht="15" hidden="false" customHeight="true" outlineLevel="0" collapsed="false">
      <c r="A211" s="27" t="s">
        <v>213</v>
      </c>
    </row>
    <row r="212" customFormat="false" ht="21.75" hidden="false" customHeight="true" outlineLevel="0" collapsed="false">
      <c r="A212" s="43" t="s">
        <v>92</v>
      </c>
      <c r="B212" s="43" t="s">
        <v>145</v>
      </c>
      <c r="C212" s="43" t="s">
        <v>146</v>
      </c>
      <c r="D212" s="43" t="s">
        <v>147</v>
      </c>
      <c r="E212" s="43" t="s">
        <v>148</v>
      </c>
      <c r="F212" s="43" t="s">
        <v>149</v>
      </c>
    </row>
    <row r="213" customFormat="false" ht="15" hidden="false" customHeight="true" outlineLevel="0" collapsed="false">
      <c r="A213" s="23" t="n">
        <v>1</v>
      </c>
      <c r="B213" s="24" t="b">
        <f aca="false">A213&lt;=Inputs!$B$17</f>
        <v>1</v>
      </c>
      <c r="C213" s="25" t="n">
        <f aca="false">0.263</f>
        <v>0.263</v>
      </c>
      <c r="D213" s="26" t="n">
        <f aca="false">IF(B213,C213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183.9043365815</v>
      </c>
      <c r="E213" s="25" t="n">
        <f aca="false">Inputs!$B$21</f>
        <v>0.083</v>
      </c>
      <c r="F213" s="26" t="n">
        <f aca="false">E213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213)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214" customFormat="false" ht="15" hidden="false" customHeight="true" outlineLevel="0" collapsed="false">
      <c r="A214" s="23" t="n">
        <v>2</v>
      </c>
      <c r="B214" s="24" t="b">
        <f aca="false">A214&lt;=Inputs!$B$17</f>
        <v>1</v>
      </c>
      <c r="C214" s="25" t="n">
        <f aca="false">IF(A214=2,C213*(1-(Inputs!$B$22)),C213)</f>
        <v>0.18147</v>
      </c>
      <c r="D214" s="26" t="n">
        <f aca="false">IF(B214,C214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192.152155712351</v>
      </c>
      <c r="E214" s="25" t="n">
        <f aca="false">0</f>
        <v>0</v>
      </c>
      <c r="F21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15" customFormat="false" ht="15" hidden="false" customHeight="true" outlineLevel="0" collapsed="false">
      <c r="A215" s="23" t="n">
        <v>3</v>
      </c>
      <c r="B215" s="24" t="b">
        <f aca="false">A215&lt;=Inputs!$B$17</f>
        <v>1</v>
      </c>
      <c r="C215" s="25" t="n">
        <f aca="false">IF(A215=2,C214*(1-(Inputs!$B$22)),C214)</f>
        <v>0.18147</v>
      </c>
      <c r="D215" s="26" t="n">
        <f aca="false">IF(B215,C215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192.152155712351</v>
      </c>
      <c r="E215" s="25" t="n">
        <f aca="false">0</f>
        <v>0</v>
      </c>
      <c r="F21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16" customFormat="false" ht="15" hidden="false" customHeight="true" outlineLevel="0" collapsed="false">
      <c r="A216" s="23" t="n">
        <v>4</v>
      </c>
      <c r="B216" s="24" t="b">
        <f aca="false">A216&lt;=Inputs!$B$17</f>
        <v>0</v>
      </c>
      <c r="C216" s="25" t="n">
        <f aca="false">IF(A216=2,C215*(1-(Inputs!$B$22)),C215)</f>
        <v>0.18147</v>
      </c>
      <c r="D216" s="26" t="n">
        <f aca="false">IF(B216,C216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16" s="25" t="n">
        <f aca="false">0</f>
        <v>0</v>
      </c>
      <c r="F21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17" customFormat="false" ht="15" hidden="false" customHeight="true" outlineLevel="0" collapsed="false">
      <c r="A217" s="23" t="n">
        <v>5</v>
      </c>
      <c r="B217" s="24" t="b">
        <f aca="false">A217&lt;=Inputs!$B$17</f>
        <v>0</v>
      </c>
      <c r="C217" s="25" t="n">
        <f aca="false">IF(A217=2,C216*(1-(Inputs!$B$22)),C216)</f>
        <v>0.18147</v>
      </c>
      <c r="D217" s="26" t="n">
        <f aca="false">IF(B217,C217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17" s="25" t="n">
        <f aca="false">0</f>
        <v>0</v>
      </c>
      <c r="F21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18" customFormat="false" ht="15" hidden="false" customHeight="true" outlineLevel="0" collapsed="false">
      <c r="A218" s="23" t="n">
        <v>6</v>
      </c>
      <c r="B218" s="24" t="b">
        <f aca="false">A218&lt;=Inputs!$B$17</f>
        <v>0</v>
      </c>
      <c r="C218" s="25" t="n">
        <f aca="false">IF(A218=2,C217*(1-(Inputs!$B$22)),C217)</f>
        <v>0.18147</v>
      </c>
      <c r="D218" s="26" t="n">
        <f aca="false">IF(B218,C218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18" s="25" t="n">
        <f aca="false">0</f>
        <v>0</v>
      </c>
      <c r="F21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19" customFormat="false" ht="15" hidden="false" customHeight="true" outlineLevel="0" collapsed="false">
      <c r="A219" s="23" t="n">
        <v>7</v>
      </c>
      <c r="B219" s="24" t="b">
        <f aca="false">A219&lt;=Inputs!$B$17</f>
        <v>0</v>
      </c>
      <c r="C219" s="25" t="n">
        <f aca="false">IF(A219=2,C218*(1-(Inputs!$B$22)),C218)</f>
        <v>0.18147</v>
      </c>
      <c r="D219" s="26" t="n">
        <f aca="false">IF(B219,C219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219)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219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219)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19" s="25" t="n">
        <f aca="false">0</f>
        <v>0</v>
      </c>
      <c r="F21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20" customFormat="false" ht="15" hidden="false" customHeight="true" outlineLevel="0" collapsed="false">
      <c r="A220" s="23" t="n">
        <v>8</v>
      </c>
      <c r="B220" s="24" t="b">
        <f aca="false">A220&lt;=Inputs!$B$17</f>
        <v>0</v>
      </c>
      <c r="C220" s="25" t="n">
        <f aca="false">IF(A220=2,C219*(1-(Inputs!$B$22)),C219)</f>
        <v>0.18147</v>
      </c>
      <c r="D220" s="26" t="n">
        <f aca="false">IF(B220,C220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20" s="25" t="n">
        <f aca="false">0</f>
        <v>0</v>
      </c>
      <c r="F22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21" customFormat="false" ht="15" hidden="false" customHeight="true" outlineLevel="0" collapsed="false">
      <c r="A221" s="23" t="n">
        <v>9</v>
      </c>
      <c r="B221" s="24" t="b">
        <f aca="false">A221&lt;=Inputs!$B$17</f>
        <v>0</v>
      </c>
      <c r="C221" s="25" t="n">
        <f aca="false">IF(A221=2,C220*(1-(Inputs!$B$22)),C220)</f>
        <v>0.18147</v>
      </c>
      <c r="D221" s="26" t="n">
        <f aca="false">IF(B221,C221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21" s="25" t="n">
        <f aca="false">0</f>
        <v>0</v>
      </c>
      <c r="F22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22" customFormat="false" ht="15" hidden="false" customHeight="true" outlineLevel="0" collapsed="false">
      <c r="A222" s="23" t="n">
        <v>10</v>
      </c>
      <c r="B222" s="24" t="b">
        <f aca="false">A222&lt;=Inputs!$B$17</f>
        <v>0</v>
      </c>
      <c r="C222" s="25" t="n">
        <f aca="false">IF(A222=2,C221*(1-(Inputs!$B$22)),C221)</f>
        <v>0.18147</v>
      </c>
      <c r="D222" s="26" t="n">
        <f aca="false">IF(B222,C222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22" s="25" t="n">
        <f aca="false">0</f>
        <v>0</v>
      </c>
      <c r="F22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23" customFormat="false" ht="15" hidden="false" customHeight="true" outlineLevel="0" collapsed="false">
      <c r="A223" s="23" t="n">
        <v>11</v>
      </c>
      <c r="B223" s="24" t="b">
        <f aca="false">A223&lt;=Inputs!$B$17</f>
        <v>0</v>
      </c>
      <c r="C223" s="25" t="n">
        <f aca="false">IF(A223=2,C222*(1-(Inputs!$B$22)),C222)</f>
        <v>0.18147</v>
      </c>
      <c r="D223" s="26" t="n">
        <f aca="false">IF(B223,C223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23" s="25" t="n">
        <f aca="false">0</f>
        <v>0</v>
      </c>
      <c r="F22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24" customFormat="false" ht="15" hidden="false" customHeight="true" outlineLevel="0" collapsed="false">
      <c r="A224" s="23" t="n">
        <v>12</v>
      </c>
      <c r="B224" s="24" t="b">
        <f aca="false">A224&lt;=Inputs!$B$17</f>
        <v>0</v>
      </c>
      <c r="C224" s="25" t="n">
        <f aca="false">IF(A224=2,C223*(1-(Inputs!$B$22)),C223)</f>
        <v>0.18147</v>
      </c>
      <c r="D224" s="26" t="n">
        <f aca="false">IF(B224,C224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325.796585884819</v>
      </c>
      <c r="E224" s="25" t="n">
        <f aca="false">0</f>
        <v>0</v>
      </c>
      <c r="F22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25" customFormat="false" ht="15" hidden="false" customHeight="true" outlineLevel="0" collapsed="false">
      <c r="A225" s="27" t="s">
        <v>201</v>
      </c>
      <c r="D225" s="29" t="n">
        <f aca="false">SUM(D213:D224)-SUM(F213:F224)</f>
        <v>-412.658616644488</v>
      </c>
    </row>
    <row r="227" customFormat="false" ht="15" hidden="false" customHeight="true" outlineLevel="0" collapsed="false">
      <c r="A227" s="27" t="s">
        <v>214</v>
      </c>
    </row>
    <row r="228" customFormat="false" ht="21.75" hidden="false" customHeight="true" outlineLevel="0" collapsed="false">
      <c r="A228" s="43" t="s">
        <v>92</v>
      </c>
      <c r="B228" s="43" t="s">
        <v>145</v>
      </c>
      <c r="C228" s="43" t="s">
        <v>146</v>
      </c>
      <c r="D228" s="43" t="s">
        <v>147</v>
      </c>
      <c r="E228" s="43" t="s">
        <v>148</v>
      </c>
      <c r="F228" s="43" t="s">
        <v>149</v>
      </c>
    </row>
    <row r="229" customFormat="false" ht="15" hidden="false" customHeight="true" outlineLevel="0" collapsed="false">
      <c r="A229" s="23" t="n">
        <v>1</v>
      </c>
      <c r="B229" s="24" t="b">
        <f aca="false">A229&lt;=Inputs!$B$17</f>
        <v>1</v>
      </c>
      <c r="C229" s="25" t="n">
        <f aca="false">0.545</f>
        <v>0.545</v>
      </c>
      <c r="D229" s="26" t="n">
        <f aca="false">IF(B229,C229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229)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229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229)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155.376371477857</v>
      </c>
      <c r="E229" s="25" t="n">
        <f aca="false">Inputs!$B$21</f>
        <v>0.083</v>
      </c>
      <c r="F229" s="26" t="n">
        <f aca="false">E229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229)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230" customFormat="false" ht="15" hidden="false" customHeight="true" outlineLevel="0" collapsed="false">
      <c r="A230" s="23" t="n">
        <v>2</v>
      </c>
      <c r="B230" s="24" t="b">
        <f aca="false">A230&lt;=Inputs!$B$17</f>
        <v>1</v>
      </c>
      <c r="C230" s="25" t="n">
        <f aca="false">IF(A230=2,C229*(1-(Inputs!$B$22)),C229)</f>
        <v>0.37605</v>
      </c>
      <c r="D230" s="26" t="n">
        <f aca="false">IF(B230,C230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172.467859790838</v>
      </c>
      <c r="E230" s="25" t="n">
        <f aca="false">0</f>
        <v>0</v>
      </c>
      <c r="F23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1" customFormat="false" ht="15" hidden="false" customHeight="true" outlineLevel="0" collapsed="false">
      <c r="A231" s="23" t="n">
        <v>3</v>
      </c>
      <c r="B231" s="24" t="b">
        <f aca="false">A231&lt;=Inputs!$B$17</f>
        <v>1</v>
      </c>
      <c r="C231" s="25" t="n">
        <f aca="false">IF(A231=2,C230*(1-(Inputs!$B$22)),C230)</f>
        <v>0.37605</v>
      </c>
      <c r="D231" s="26" t="n">
        <f aca="false">IF(B231,C231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172.467859790838</v>
      </c>
      <c r="E231" s="25" t="n">
        <f aca="false">0</f>
        <v>0</v>
      </c>
      <c r="F23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2" customFormat="false" ht="15" hidden="false" customHeight="true" outlineLevel="0" collapsed="false">
      <c r="A232" s="23" t="n">
        <v>4</v>
      </c>
      <c r="B232" s="24" t="b">
        <f aca="false">A232&lt;=Inputs!$B$17</f>
        <v>0</v>
      </c>
      <c r="C232" s="25" t="n">
        <f aca="false">IF(A232=2,C231*(1-(Inputs!$B$22)),C231)</f>
        <v>0.37605</v>
      </c>
      <c r="D232" s="26" t="n">
        <f aca="false">IF(B232,C232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2" s="25" t="n">
        <f aca="false">0</f>
        <v>0</v>
      </c>
      <c r="F23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3" customFormat="false" ht="15" hidden="false" customHeight="true" outlineLevel="0" collapsed="false">
      <c r="A233" s="23" t="n">
        <v>5</v>
      </c>
      <c r="B233" s="24" t="b">
        <f aca="false">A233&lt;=Inputs!$B$17</f>
        <v>0</v>
      </c>
      <c r="C233" s="25" t="n">
        <f aca="false">IF(A233=2,C232*(1-(Inputs!$B$22)),C232)</f>
        <v>0.37605</v>
      </c>
      <c r="D233" s="26" t="n">
        <f aca="false">IF(B233,C233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3" s="25" t="n">
        <f aca="false">0</f>
        <v>0</v>
      </c>
      <c r="F23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4" customFormat="false" ht="15" hidden="false" customHeight="true" outlineLevel="0" collapsed="false">
      <c r="A234" s="23" t="n">
        <v>6</v>
      </c>
      <c r="B234" s="24" t="b">
        <f aca="false">A234&lt;=Inputs!$B$17</f>
        <v>0</v>
      </c>
      <c r="C234" s="25" t="n">
        <f aca="false">IF(A234=2,C233*(1-(Inputs!$B$22)),C233)</f>
        <v>0.37605</v>
      </c>
      <c r="D234" s="26" t="n">
        <f aca="false">IF(B234,C234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4" s="25" t="n">
        <f aca="false">0</f>
        <v>0</v>
      </c>
      <c r="F23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5" customFormat="false" ht="15" hidden="false" customHeight="true" outlineLevel="0" collapsed="false">
      <c r="A235" s="23" t="n">
        <v>7</v>
      </c>
      <c r="B235" s="24" t="b">
        <f aca="false">A235&lt;=Inputs!$B$17</f>
        <v>0</v>
      </c>
      <c r="C235" s="25" t="n">
        <f aca="false">IF(A235=2,C234*(1-(Inputs!$B$22)),C234)</f>
        <v>0.37605</v>
      </c>
      <c r="D235" s="26" t="n">
        <f aca="false">IF(B235,C235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5" s="25" t="n">
        <f aca="false">0</f>
        <v>0</v>
      </c>
      <c r="F23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6" customFormat="false" ht="15" hidden="false" customHeight="true" outlineLevel="0" collapsed="false">
      <c r="A236" s="23" t="n">
        <v>8</v>
      </c>
      <c r="B236" s="24" t="b">
        <f aca="false">A236&lt;=Inputs!$B$17</f>
        <v>0</v>
      </c>
      <c r="C236" s="25" t="n">
        <f aca="false">IF(A236=2,C235*(1-(Inputs!$B$22)),C235)</f>
        <v>0.37605</v>
      </c>
      <c r="D236" s="26" t="n">
        <f aca="false">IF(B236,C236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6" s="25" t="n">
        <f aca="false">0</f>
        <v>0</v>
      </c>
      <c r="F23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7" customFormat="false" ht="15" hidden="false" customHeight="true" outlineLevel="0" collapsed="false">
      <c r="A237" s="23" t="n">
        <v>9</v>
      </c>
      <c r="B237" s="24" t="b">
        <f aca="false">A237&lt;=Inputs!$B$17</f>
        <v>0</v>
      </c>
      <c r="C237" s="25" t="n">
        <f aca="false">IF(A237=2,C236*(1-(Inputs!$B$22)),C236)</f>
        <v>0.37605</v>
      </c>
      <c r="D237" s="26" t="n">
        <f aca="false">IF(B237,C237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7" s="25" t="n">
        <f aca="false">0</f>
        <v>0</v>
      </c>
      <c r="F23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8" customFormat="false" ht="15" hidden="false" customHeight="true" outlineLevel="0" collapsed="false">
      <c r="A238" s="23" t="n">
        <v>10</v>
      </c>
      <c r="B238" s="24" t="b">
        <f aca="false">A238&lt;=Inputs!$B$17</f>
        <v>0</v>
      </c>
      <c r="C238" s="25" t="n">
        <f aca="false">IF(A238=2,C237*(1-(Inputs!$B$22)),C237)</f>
        <v>0.37605</v>
      </c>
      <c r="D238" s="26" t="n">
        <f aca="false">IF(B238,C238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8" s="25" t="n">
        <f aca="false">0</f>
        <v>0</v>
      </c>
      <c r="F23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39" customFormat="false" ht="15" hidden="false" customHeight="true" outlineLevel="0" collapsed="false">
      <c r="A239" s="23" t="n">
        <v>11</v>
      </c>
      <c r="B239" s="24" t="b">
        <f aca="false">A239&lt;=Inputs!$B$17</f>
        <v>0</v>
      </c>
      <c r="C239" s="25" t="n">
        <f aca="false">IF(A239=2,C238*(1-(Inputs!$B$22)),C238)</f>
        <v>0.37605</v>
      </c>
      <c r="D239" s="26" t="n">
        <f aca="false">IF(B239,C239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239)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239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239)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39" s="25" t="n">
        <f aca="false">0</f>
        <v>0</v>
      </c>
      <c r="F23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40" customFormat="false" ht="15" hidden="false" customHeight="true" outlineLevel="0" collapsed="false">
      <c r="A240" s="23" t="n">
        <v>12</v>
      </c>
      <c r="B240" s="24" t="b">
        <f aca="false">A240&lt;=Inputs!$B$17</f>
        <v>0</v>
      </c>
      <c r="C240" s="25" t="n">
        <f aca="false">IF(A240=2,C239*(1-(Inputs!$B$22)),C239)</f>
        <v>0.37605</v>
      </c>
      <c r="D240" s="26" t="n">
        <f aca="false">IF(B240,C240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323.867249191484</v>
      </c>
      <c r="E240" s="25" t="n">
        <f aca="false">0</f>
        <v>0</v>
      </c>
      <c r="F24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41" customFormat="false" ht="15" hidden="false" customHeight="true" outlineLevel="0" collapsed="false">
      <c r="A241" s="27" t="s">
        <v>201</v>
      </c>
      <c r="D241" s="29" t="n">
        <f aca="false">SUM(D229:D240)-SUM(F229:F240)</f>
        <v>-497.919203831171</v>
      </c>
    </row>
    <row r="243" customFormat="false" ht="15" hidden="false" customHeight="true" outlineLevel="0" collapsed="false">
      <c r="A243" s="27" t="s">
        <v>215</v>
      </c>
    </row>
    <row r="244" customFormat="false" ht="21.75" hidden="false" customHeight="true" outlineLevel="0" collapsed="false">
      <c r="A244" s="43" t="s">
        <v>92</v>
      </c>
      <c r="B244" s="43" t="s">
        <v>145</v>
      </c>
      <c r="C244" s="43" t="s">
        <v>146</v>
      </c>
      <c r="D244" s="43" t="s">
        <v>147</v>
      </c>
      <c r="E244" s="43" t="s">
        <v>148</v>
      </c>
      <c r="F244" s="43" t="s">
        <v>149</v>
      </c>
    </row>
    <row r="245" customFormat="false" ht="15" hidden="false" customHeight="true" outlineLevel="0" collapsed="false">
      <c r="A245" s="23" t="n">
        <v>1</v>
      </c>
      <c r="B245" s="24" t="b">
        <f aca="false">A245&lt;=Inputs!$B$17</f>
        <v>1</v>
      </c>
      <c r="C245" s="25" t="n">
        <f aca="false">VLOOKUP("50",Inputs!$A$29:$K$33,2,FALSE())</f>
        <v>0.4</v>
      </c>
      <c r="D245" s="26" t="n">
        <f aca="false">IF(B245,C245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245)*(((INDEX(Inputs!$A$37:$C$37,1,1))*(Inputs!$B$25/14)*Inputs!$B$5+(INDEX(Inputs!$A$37:$C$37,1,2))*(Inputs!$B$25/14)*(Inputs!$B$10*Inputs!$B$6+(1-Inputs!$B$10)*Inputs!$B$7)+(6.68)*(Inputs!$B$25/14)*(Inputs!$B$11*Inputs!$B$9+(1-Inputs!$B$11)*Inputs!$B$8))))</f>
        <v>170.045006016964</v>
      </c>
      <c r="E245" s="25" t="n">
        <f aca="false">Inputs!$B$21</f>
        <v>0.083</v>
      </c>
      <c r="F245" s="26" t="n">
        <f aca="false">E245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245)*((INDEX(Inputs!$A$37:$C$37,1,1))*(Inputs!$B$25/14)*Inputs!$B$5+(INDEX(Inputs!$A$37:$C$37,1,2))*(Inputs!$B$25/14)*(Inputs!$B$10*Inputs!$B$6+(1-Inputs!$B$10)*Inputs!$B$7)+(6.68)*(Inputs!$B$25/14)*(Inputs!$B$11*Inputs!$B$9+(1-Inputs!$B$11)*Inputs!$B$8))</f>
        <v>303.93692969442</v>
      </c>
    </row>
    <row r="246" customFormat="false" ht="15" hidden="false" customHeight="true" outlineLevel="0" collapsed="false">
      <c r="A246" s="23" t="n">
        <v>2</v>
      </c>
      <c r="B246" s="24" t="b">
        <f aca="false">A246&lt;=Inputs!$B$17</f>
        <v>1</v>
      </c>
      <c r="C246" s="25" t="n">
        <f aca="false">IF(A246=2,C245*(1-(Inputs!$B$22)),C245)</f>
        <v>0.276</v>
      </c>
      <c r="D246" s="26" t="n">
        <f aca="false">IF(B246,C246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246)*(((INDEX(Inputs!$A$37:$C$37,1,1))*(Inputs!$B$25/14)*Inputs!$B$5+(INDEX(Inputs!$A$37:$C$37,1,2))*(Inputs!$B$25/14)*(Inputs!$B$10*Inputs!$B$6+(1-Inputs!$B$10)*Inputs!$B$7)+(6.68)*(Inputs!$B$25/14)*(Inputs!$B$11*Inputs!$B$9+(1-Inputs!$B$11)*Inputs!$B$8))))</f>
        <v>182.589217622821</v>
      </c>
      <c r="E246" s="25" t="n">
        <f aca="false">0</f>
        <v>0</v>
      </c>
      <c r="F246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47" customFormat="false" ht="15" hidden="false" customHeight="true" outlineLevel="0" collapsed="false">
      <c r="A247" s="23" t="n">
        <v>3</v>
      </c>
      <c r="B247" s="24" t="b">
        <f aca="false">A247&lt;=Inputs!$B$17</f>
        <v>1</v>
      </c>
      <c r="C247" s="25" t="n">
        <f aca="false">IF(A247=2,C246*(1-(Inputs!$B$22)),C246)</f>
        <v>0.276</v>
      </c>
      <c r="D247" s="26" t="n">
        <f aca="false">IF(B247,C247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247)*(((INDEX(Inputs!$A$37:$C$37,1,1))*(Inputs!$B$25/14)*Inputs!$B$5+(INDEX(Inputs!$A$37:$C$37,1,2))*(Inputs!$B$25/14)*(Inputs!$B$10*Inputs!$B$6+(1-Inputs!$B$10)*Inputs!$B$7)+(6.68)*(Inputs!$B$25/14)*(Inputs!$B$11*Inputs!$B$9+(1-Inputs!$B$11)*Inputs!$B$8))))</f>
        <v>182.589217622821</v>
      </c>
      <c r="E247" s="25" t="n">
        <f aca="false">0</f>
        <v>0</v>
      </c>
      <c r="F247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48" customFormat="false" ht="15" hidden="false" customHeight="true" outlineLevel="0" collapsed="false">
      <c r="A248" s="23" t="n">
        <v>4</v>
      </c>
      <c r="B248" s="24" t="b">
        <f aca="false">A248&lt;=Inputs!$B$17</f>
        <v>0</v>
      </c>
      <c r="C248" s="25" t="n">
        <f aca="false">IF(A248=2,C247*(1-(Inputs!$B$22)),C247)</f>
        <v>0.276</v>
      </c>
      <c r="D248" s="26" t="n">
        <f aca="false">IF(B248,C248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248)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48" s="25" t="n">
        <f aca="false">0</f>
        <v>0</v>
      </c>
      <c r="F248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49" customFormat="false" ht="15" hidden="false" customHeight="true" outlineLevel="0" collapsed="false">
      <c r="A249" s="23" t="n">
        <v>5</v>
      </c>
      <c r="B249" s="24" t="b">
        <f aca="false">A249&lt;=Inputs!$B$17</f>
        <v>0</v>
      </c>
      <c r="C249" s="25" t="n">
        <f aca="false">IF(A249=2,C248*(1-(Inputs!$B$22)),C248)</f>
        <v>0.276</v>
      </c>
      <c r="D249" s="26" t="n">
        <f aca="false">IF(B249,C249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249)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249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249)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49" s="25" t="n">
        <f aca="false">0</f>
        <v>0</v>
      </c>
      <c r="F249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0" customFormat="false" ht="15" hidden="false" customHeight="true" outlineLevel="0" collapsed="false">
      <c r="A250" s="23" t="n">
        <v>6</v>
      </c>
      <c r="B250" s="24" t="b">
        <f aca="false">A250&lt;=Inputs!$B$17</f>
        <v>0</v>
      </c>
      <c r="C250" s="25" t="n">
        <f aca="false">IF(A250=2,C249*(1-(Inputs!$B$22)),C249)</f>
        <v>0.276</v>
      </c>
      <c r="D250" s="26" t="n">
        <f aca="false">IF(B250,C250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250)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0" s="25" t="n">
        <f aca="false">0</f>
        <v>0</v>
      </c>
      <c r="F250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1" customFormat="false" ht="15" hidden="false" customHeight="true" outlineLevel="0" collapsed="false">
      <c r="A251" s="23" t="n">
        <v>7</v>
      </c>
      <c r="B251" s="24" t="b">
        <f aca="false">A251&lt;=Inputs!$B$17</f>
        <v>0</v>
      </c>
      <c r="C251" s="25" t="n">
        <f aca="false">IF(A251=2,C250*(1-(Inputs!$B$22)),C250)</f>
        <v>0.276</v>
      </c>
      <c r="D251" s="26" t="n">
        <f aca="false">IF(B251,C251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251)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1" s="25" t="n">
        <f aca="false">0</f>
        <v>0</v>
      </c>
      <c r="F251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2" customFormat="false" ht="15" hidden="false" customHeight="true" outlineLevel="0" collapsed="false">
      <c r="A252" s="23" t="n">
        <v>8</v>
      </c>
      <c r="B252" s="24" t="b">
        <f aca="false">A252&lt;=Inputs!$B$17</f>
        <v>0</v>
      </c>
      <c r="C252" s="25" t="n">
        <f aca="false">IF(A252=2,C251*(1-(Inputs!$B$22)),C251)</f>
        <v>0.276</v>
      </c>
      <c r="D252" s="26" t="n">
        <f aca="false">IF(B252,C252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252)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2" s="25" t="n">
        <f aca="false">0</f>
        <v>0</v>
      </c>
      <c r="F252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3" customFormat="false" ht="15" hidden="false" customHeight="true" outlineLevel="0" collapsed="false">
      <c r="A253" s="23" t="n">
        <v>9</v>
      </c>
      <c r="B253" s="24" t="b">
        <f aca="false">A253&lt;=Inputs!$B$17</f>
        <v>0</v>
      </c>
      <c r="C253" s="25" t="n">
        <f aca="false">IF(A253=2,C252*(1-(Inputs!$B$22)),C252)</f>
        <v>0.276</v>
      </c>
      <c r="D253" s="26" t="n">
        <f aca="false">IF(B253,C253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253)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3" s="25" t="n">
        <f aca="false">0</f>
        <v>0</v>
      </c>
      <c r="F253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4" customFormat="false" ht="15" hidden="false" customHeight="true" outlineLevel="0" collapsed="false">
      <c r="A254" s="23" t="n">
        <v>10</v>
      </c>
      <c r="B254" s="24" t="b">
        <f aca="false">A254&lt;=Inputs!$B$17</f>
        <v>0</v>
      </c>
      <c r="C254" s="25" t="n">
        <f aca="false">IF(A254=2,C253*(1-(Inputs!$B$22)),C253)</f>
        <v>0.276</v>
      </c>
      <c r="D254" s="26" t="n">
        <f aca="false">IF(B254,C254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254)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4" s="25" t="n">
        <f aca="false">0</f>
        <v>0</v>
      </c>
      <c r="F254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5" customFormat="false" ht="15" hidden="false" customHeight="true" outlineLevel="0" collapsed="false">
      <c r="A255" s="23" t="n">
        <v>11</v>
      </c>
      <c r="B255" s="24" t="b">
        <f aca="false">A255&lt;=Inputs!$B$17</f>
        <v>0</v>
      </c>
      <c r="C255" s="25" t="n">
        <f aca="false">IF(A255=2,C254*(1-(Inputs!$B$22)),C254)</f>
        <v>0.276</v>
      </c>
      <c r="D255" s="26" t="n">
        <f aca="false">IF(B255,C255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255)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5" s="25" t="n">
        <f aca="false">0</f>
        <v>0</v>
      </c>
      <c r="F255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6" customFormat="false" ht="15" hidden="false" customHeight="true" outlineLevel="0" collapsed="false">
      <c r="A256" s="23" t="n">
        <v>12</v>
      </c>
      <c r="B256" s="24" t="b">
        <f aca="false">A256&lt;=Inputs!$B$17</f>
        <v>0</v>
      </c>
      <c r="C256" s="25" t="n">
        <f aca="false">IF(A256=2,C255*(1-(Inputs!$B$22)),C255)</f>
        <v>0.276</v>
      </c>
      <c r="D256" s="26" t="n">
        <f aca="false">IF(B256,C256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256)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256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256)*(((INDEX(Inputs!$A$37:$C$37,1,1))*(Inputs!$B$25/14)*Inputs!$B$5+(INDEX(Inputs!$A$37:$C$37,1,2))*(Inputs!$B$25/14)*(Inputs!$B$10*Inputs!$B$6+(1-Inputs!$B$10)*Inputs!$B$7)+(6.68)*(Inputs!$B$25/14)*(Inputs!$B$11*Inputs!$B$9+(1-Inputs!$B$11)*Inputs!$B$8))))</f>
        <v>320.481841033929</v>
      </c>
      <c r="E256" s="25" t="n">
        <f aca="false">0</f>
        <v>0</v>
      </c>
      <c r="F256" s="26" t="n">
        <f aca="false">((INDEX(Inputs!$A$37:$C$37,1,1))*(Inputs!$B$25/14)*Inputs!$B$5+(INDEX(Inputs!$A$37:$C$37,1,2))*(Inputs!$B$25/14)*(Inputs!$B$10*Inputs!$B$6+(1-Inputs!$B$10)*Inputs!$B$7)+(6.68)*(Inputs!$B$25/14)*(Inputs!$B$11*Inputs!$B$9+(1-Inputs!$B$11)*Inputs!$B$8))</f>
        <v>321.54973984375</v>
      </c>
    </row>
    <row r="257" customFormat="false" ht="15" hidden="false" customHeight="true" outlineLevel="0" collapsed="false">
      <c r="A257" s="27" t="s">
        <v>201</v>
      </c>
      <c r="D257" s="29" t="n">
        <f aca="false">SUM(D245:D256)-SUM(F245:F256)</f>
        <v>-421.424057407705</v>
      </c>
    </row>
    <row r="259" customFormat="false" ht="15" hidden="false" customHeight="true" outlineLevel="0" collapsed="false">
      <c r="A259" s="27" t="s">
        <v>216</v>
      </c>
    </row>
    <row r="260" customFormat="false" ht="21.75" hidden="false" customHeight="true" outlineLevel="0" collapsed="false">
      <c r="A260" s="43" t="s">
        <v>92</v>
      </c>
      <c r="B260" s="43" t="s">
        <v>145</v>
      </c>
      <c r="C260" s="43" t="s">
        <v>146</v>
      </c>
      <c r="D260" s="43" t="s">
        <v>147</v>
      </c>
      <c r="E260" s="43" t="s">
        <v>148</v>
      </c>
      <c r="F260" s="43" t="s">
        <v>149</v>
      </c>
    </row>
    <row r="261" customFormat="false" ht="15" hidden="false" customHeight="true" outlineLevel="0" collapsed="false">
      <c r="A261" s="23" t="n">
        <v>1</v>
      </c>
      <c r="B261" s="24" t="b">
        <f aca="false">A261&lt;=Inputs!$B$17</f>
        <v>1</v>
      </c>
      <c r="C261" s="25" t="n">
        <f aca="false">VLOOKUP("50",Inputs!$A$29:$K$33,2,FALSE())</f>
        <v>0.4</v>
      </c>
      <c r="D261" s="26" t="n">
        <f aca="false">IF(B261,C261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261)*(((INDEX(Inputs!$A$37:$C$37,1,1))*(Inputs!$B$25/14)*Inputs!$B$5+(INDEX(Inputs!$A$37:$C$37,1,2))*(Inputs!$B$25/14)*(Inputs!$B$10*Inputs!$B$6+(1-Inputs!$B$10)*Inputs!$B$7)+(15.9)*(Inputs!$B$25/14)*(Inputs!$B$11*Inputs!$B$9+(1-Inputs!$B$11)*Inputs!$B$8))))</f>
        <v>170.045006016964</v>
      </c>
      <c r="E261" s="25" t="n">
        <f aca="false">Inputs!$B$21</f>
        <v>0.083</v>
      </c>
      <c r="F261" s="26" t="n">
        <f aca="false">E261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261)*((INDEX(Inputs!$A$37:$C$37,1,1))*(Inputs!$B$25/14)*Inputs!$B$5+(INDEX(Inputs!$A$37:$C$37,1,2))*(Inputs!$B$25/14)*(Inputs!$B$10*Inputs!$B$6+(1-Inputs!$B$10)*Inputs!$B$7)+(15.9)*(Inputs!$B$25/14)*(Inputs!$B$11*Inputs!$B$9+(1-Inputs!$B$11)*Inputs!$B$8))</f>
        <v>316.344449366295</v>
      </c>
    </row>
    <row r="262" customFormat="false" ht="15" hidden="false" customHeight="true" outlineLevel="0" collapsed="false">
      <c r="A262" s="23" t="n">
        <v>2</v>
      </c>
      <c r="B262" s="24" t="b">
        <f aca="false">A262&lt;=Inputs!$B$17</f>
        <v>1</v>
      </c>
      <c r="C262" s="25" t="n">
        <f aca="false">IF(A262=2,C261*(1-(Inputs!$B$22)),C261)</f>
        <v>0.276</v>
      </c>
      <c r="D262" s="26" t="n">
        <f aca="false">IF(B262,C262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262)*(((INDEX(Inputs!$A$37:$C$37,1,1))*(Inputs!$B$25/14)*Inputs!$B$5+(INDEX(Inputs!$A$37:$C$37,1,2))*(Inputs!$B$25/14)*(Inputs!$B$10*Inputs!$B$6+(1-Inputs!$B$10)*Inputs!$B$7)+(15.9)*(Inputs!$B$25/14)*(Inputs!$B$11*Inputs!$B$9+(1-Inputs!$B$11)*Inputs!$B$8))))</f>
        <v>182.589217622821</v>
      </c>
      <c r="E262" s="25" t="n">
        <f aca="false">0</f>
        <v>0</v>
      </c>
      <c r="F262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3" customFormat="false" ht="15" hidden="false" customHeight="true" outlineLevel="0" collapsed="false">
      <c r="A263" s="23" t="n">
        <v>3</v>
      </c>
      <c r="B263" s="24" t="b">
        <f aca="false">A263&lt;=Inputs!$B$17</f>
        <v>1</v>
      </c>
      <c r="C263" s="25" t="n">
        <f aca="false">IF(A263=2,C262*(1-(Inputs!$B$22)),C262)</f>
        <v>0.276</v>
      </c>
      <c r="D263" s="26" t="n">
        <f aca="false">IF(B263,C263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263)*(((INDEX(Inputs!$A$37:$C$37,1,1))*(Inputs!$B$25/14)*Inputs!$B$5+(INDEX(Inputs!$A$37:$C$37,1,2))*(Inputs!$B$25/14)*(Inputs!$B$10*Inputs!$B$6+(1-Inputs!$B$10)*Inputs!$B$7)+(15.9)*(Inputs!$B$25/14)*(Inputs!$B$11*Inputs!$B$9+(1-Inputs!$B$11)*Inputs!$B$8))))</f>
        <v>182.589217622821</v>
      </c>
      <c r="E263" s="25" t="n">
        <f aca="false">0</f>
        <v>0</v>
      </c>
      <c r="F263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4" customFormat="false" ht="15" hidden="false" customHeight="true" outlineLevel="0" collapsed="false">
      <c r="A264" s="23" t="n">
        <v>4</v>
      </c>
      <c r="B264" s="24" t="b">
        <f aca="false">A264&lt;=Inputs!$B$17</f>
        <v>0</v>
      </c>
      <c r="C264" s="25" t="n">
        <f aca="false">IF(A264=2,C263*(1-(Inputs!$B$22)),C263)</f>
        <v>0.276</v>
      </c>
      <c r="D264" s="26" t="n">
        <f aca="false">IF(B264,C264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264)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64" s="25" t="n">
        <f aca="false">0</f>
        <v>0</v>
      </c>
      <c r="F264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5" customFormat="false" ht="15" hidden="false" customHeight="true" outlineLevel="0" collapsed="false">
      <c r="A265" s="23" t="n">
        <v>5</v>
      </c>
      <c r="B265" s="24" t="b">
        <f aca="false">A265&lt;=Inputs!$B$17</f>
        <v>0</v>
      </c>
      <c r="C265" s="25" t="n">
        <f aca="false">IF(A265=2,C264*(1-(Inputs!$B$22)),C264)</f>
        <v>0.276</v>
      </c>
      <c r="D265" s="26" t="n">
        <f aca="false">IF(B265,C265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265)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65" s="25" t="n">
        <f aca="false">0</f>
        <v>0</v>
      </c>
      <c r="F265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6" customFormat="false" ht="15" hidden="false" customHeight="true" outlineLevel="0" collapsed="false">
      <c r="A266" s="23" t="n">
        <v>6</v>
      </c>
      <c r="B266" s="24" t="b">
        <f aca="false">A266&lt;=Inputs!$B$17</f>
        <v>0</v>
      </c>
      <c r="C266" s="25" t="n">
        <f aca="false">IF(A266=2,C265*(1-(Inputs!$B$22)),C265)</f>
        <v>0.276</v>
      </c>
      <c r="D266" s="26" t="n">
        <f aca="false">IF(B266,C266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266)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66" s="25" t="n">
        <f aca="false">0</f>
        <v>0</v>
      </c>
      <c r="F266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7" customFormat="false" ht="15" hidden="false" customHeight="true" outlineLevel="0" collapsed="false">
      <c r="A267" s="23" t="n">
        <v>7</v>
      </c>
      <c r="B267" s="24" t="b">
        <f aca="false">A267&lt;=Inputs!$B$17</f>
        <v>0</v>
      </c>
      <c r="C267" s="25" t="n">
        <f aca="false">IF(A267=2,C266*(1-(Inputs!$B$22)),C266)</f>
        <v>0.276</v>
      </c>
      <c r="D267" s="26" t="n">
        <f aca="false">IF(B267,C267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267)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67" s="25" t="n">
        <f aca="false">0</f>
        <v>0</v>
      </c>
      <c r="F267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8" customFormat="false" ht="15" hidden="false" customHeight="true" outlineLevel="0" collapsed="false">
      <c r="A268" s="23" t="n">
        <v>8</v>
      </c>
      <c r="B268" s="24" t="b">
        <f aca="false">A268&lt;=Inputs!$B$17</f>
        <v>0</v>
      </c>
      <c r="C268" s="25" t="n">
        <f aca="false">IF(A268=2,C267*(1-(Inputs!$B$22)),C267)</f>
        <v>0.276</v>
      </c>
      <c r="D268" s="26" t="n">
        <f aca="false">IF(B268,C268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268)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68" s="25" t="n">
        <f aca="false">0</f>
        <v>0</v>
      </c>
      <c r="F268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69" customFormat="false" ht="15" hidden="false" customHeight="true" outlineLevel="0" collapsed="false">
      <c r="A269" s="23" t="n">
        <v>9</v>
      </c>
      <c r="B269" s="24" t="b">
        <f aca="false">A269&lt;=Inputs!$B$17</f>
        <v>0</v>
      </c>
      <c r="C269" s="25" t="n">
        <f aca="false">IF(A269=2,C268*(1-(Inputs!$B$22)),C268)</f>
        <v>0.276</v>
      </c>
      <c r="D269" s="26" t="n">
        <f aca="false">IF(B269,C269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269)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269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269)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69" s="25" t="n">
        <f aca="false">0</f>
        <v>0</v>
      </c>
      <c r="F269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70" customFormat="false" ht="15" hidden="false" customHeight="true" outlineLevel="0" collapsed="false">
      <c r="A270" s="23" t="n">
        <v>10</v>
      </c>
      <c r="B270" s="24" t="b">
        <f aca="false">A270&lt;=Inputs!$B$17</f>
        <v>0</v>
      </c>
      <c r="C270" s="25" t="n">
        <f aca="false">IF(A270=2,C269*(1-(Inputs!$B$22)),C269)</f>
        <v>0.276</v>
      </c>
      <c r="D270" s="26" t="n">
        <f aca="false">IF(B270,C270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270)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270)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70" s="25" t="n">
        <f aca="false">0</f>
        <v>0</v>
      </c>
      <c r="F270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71" customFormat="false" ht="15" hidden="false" customHeight="true" outlineLevel="0" collapsed="false">
      <c r="A271" s="23" t="n">
        <v>11</v>
      </c>
      <c r="B271" s="24" t="b">
        <f aca="false">A271&lt;=Inputs!$B$17</f>
        <v>0</v>
      </c>
      <c r="C271" s="25" t="n">
        <f aca="false">IF(A271=2,C270*(1-(Inputs!$B$22)),C270)</f>
        <v>0.276</v>
      </c>
      <c r="D271" s="26" t="n">
        <f aca="false">IF(B271,C271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271)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271)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71" s="25" t="n">
        <f aca="false">0</f>
        <v>0</v>
      </c>
      <c r="F271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72" customFormat="false" ht="15" hidden="false" customHeight="true" outlineLevel="0" collapsed="false">
      <c r="A272" s="23" t="n">
        <v>12</v>
      </c>
      <c r="B272" s="24" t="b">
        <f aca="false">A272&lt;=Inputs!$B$17</f>
        <v>0</v>
      </c>
      <c r="C272" s="25" t="n">
        <f aca="false">IF(A272=2,C271*(1-(Inputs!$B$22)),C271)</f>
        <v>0.276</v>
      </c>
      <c r="D272" s="26" t="n">
        <f aca="false">IF(B272,C272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272)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272)*(((INDEX(Inputs!$A$37:$C$37,1,1))*(Inputs!$B$25/14)*Inputs!$B$5+(INDEX(Inputs!$A$37:$C$37,1,2))*(Inputs!$B$25/14)*(Inputs!$B$10*Inputs!$B$6+(1-Inputs!$B$10)*Inputs!$B$7)+(15.9)*(Inputs!$B$25/14)*(Inputs!$B$11*Inputs!$B$9+(1-Inputs!$B$11)*Inputs!$B$8))))</f>
        <v>330.277963435714</v>
      </c>
      <c r="E272" s="25" t="n">
        <f aca="false">0</f>
        <v>0</v>
      </c>
      <c r="F272" s="26" t="n">
        <f aca="false">((INDEX(Inputs!$A$37:$C$37,1,1))*(Inputs!$B$25/14)*Inputs!$B$5+(INDEX(Inputs!$A$37:$C$37,1,2))*(Inputs!$B$25/14)*(Inputs!$B$10*Inputs!$B$6+(1-Inputs!$B$10)*Inputs!$B$7)+(15.9)*(Inputs!$B$25/14)*(Inputs!$B$11*Inputs!$B$9+(1-Inputs!$B$11)*Inputs!$B$8))</f>
        <v>335.080295647321</v>
      </c>
    </row>
    <row r="273" customFormat="false" ht="15" hidden="false" customHeight="true" outlineLevel="0" collapsed="false">
      <c r="A273" s="27" t="s">
        <v>201</v>
      </c>
      <c r="D273" s="29" t="n">
        <f aca="false">SUM(D261:D272)-SUM(F261:F272)</f>
        <v>-494.502589302795</v>
      </c>
    </row>
    <row r="275" customFormat="false" ht="15" hidden="false" customHeight="true" outlineLevel="0" collapsed="false">
      <c r="A275" s="27" t="s">
        <v>217</v>
      </c>
    </row>
    <row r="276" customFormat="false" ht="21.75" hidden="false" customHeight="true" outlineLevel="0" collapsed="false">
      <c r="A276" s="43" t="s">
        <v>92</v>
      </c>
      <c r="B276" s="43" t="s">
        <v>145</v>
      </c>
      <c r="C276" s="43" t="s">
        <v>146</v>
      </c>
      <c r="D276" s="43" t="s">
        <v>147</v>
      </c>
      <c r="E276" s="43" t="s">
        <v>148</v>
      </c>
      <c r="F276" s="43" t="s">
        <v>149</v>
      </c>
    </row>
    <row r="277" customFormat="false" ht="15" hidden="false" customHeight="true" outlineLevel="0" collapsed="false">
      <c r="A277" s="23" t="n">
        <v>1</v>
      </c>
      <c r="B277" s="24" t="b">
        <f aca="false">A277&lt;=Inputs!$B$17</f>
        <v>1</v>
      </c>
      <c r="C277" s="25" t="n">
        <f aca="false">VLOOKUP("50",Inputs!$A$29:$K$33,2,FALSE())</f>
        <v>0.4</v>
      </c>
      <c r="D277" s="26" t="n">
        <f aca="false">IF(B277,C277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277)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277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167.40129173125</v>
      </c>
      <c r="E277" s="25" t="n">
        <f aca="false">Inputs!$B$21</f>
        <v>0.083</v>
      </c>
      <c r="F277" s="26" t="n">
        <f aca="false">E277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E277)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308.932717011384</v>
      </c>
    </row>
    <row r="278" customFormat="false" ht="15" hidden="false" customHeight="true" outlineLevel="0" collapsed="false">
      <c r="A278" s="23" t="n">
        <v>2</v>
      </c>
      <c r="B278" s="24" t="b">
        <f aca="false">A278&lt;=Inputs!$B$17</f>
        <v>1</v>
      </c>
      <c r="C278" s="25" t="n">
        <f aca="false">IF(A278=2,C277*(1-(Inputs!$B$22)),C277)</f>
        <v>0.276</v>
      </c>
      <c r="D278" s="26" t="n">
        <f aca="false">IF(B278,C278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278)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278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180.765054765679</v>
      </c>
      <c r="E278" s="25" t="n">
        <f aca="false">0</f>
        <v>0</v>
      </c>
      <c r="F27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79" customFormat="false" ht="15" hidden="false" customHeight="true" outlineLevel="0" collapsed="false">
      <c r="A279" s="23" t="n">
        <v>3</v>
      </c>
      <c r="B279" s="24" t="b">
        <f aca="false">A279&lt;=Inputs!$B$17</f>
        <v>1</v>
      </c>
      <c r="C279" s="25" t="n">
        <f aca="false">IF(A279=2,C278*(1-(Inputs!$B$22)),C278)</f>
        <v>0.276</v>
      </c>
      <c r="D279" s="26" t="n">
        <f aca="false">IF(B279,C279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279)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279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279)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180.765054765679</v>
      </c>
      <c r="E279" s="25" t="n">
        <f aca="false">0</f>
        <v>0</v>
      </c>
      <c r="F27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0" customFormat="false" ht="15" hidden="false" customHeight="true" outlineLevel="0" collapsed="false">
      <c r="A280" s="23" t="n">
        <v>4</v>
      </c>
      <c r="B280" s="24" t="b">
        <f aca="false">A280&lt;=Inputs!$B$17</f>
        <v>0</v>
      </c>
      <c r="C280" s="25" t="n">
        <f aca="false">IF(A280=2,C279*(1-(Inputs!$B$22)),C279)</f>
        <v>0.276</v>
      </c>
      <c r="D280" s="26" t="n">
        <f aca="false">IF(B280,C280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280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0" s="25" t="n">
        <f aca="false">0</f>
        <v>0</v>
      </c>
      <c r="F28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1" customFormat="false" ht="15" hidden="false" customHeight="true" outlineLevel="0" collapsed="false">
      <c r="A281" s="23" t="n">
        <v>5</v>
      </c>
      <c r="B281" s="24" t="b">
        <f aca="false">A281&lt;=Inputs!$B$17</f>
        <v>0</v>
      </c>
      <c r="C281" s="25" t="n">
        <f aca="false">IF(A281=2,C280*(1-(Inputs!$B$22)),C280)</f>
        <v>0.276</v>
      </c>
      <c r="D281" s="26" t="n">
        <f aca="false">IF(B281,C281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281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1" s="25" t="n">
        <f aca="false">0</f>
        <v>0</v>
      </c>
      <c r="F28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2" customFormat="false" ht="15" hidden="false" customHeight="true" outlineLevel="0" collapsed="false">
      <c r="A282" s="23" t="n">
        <v>6</v>
      </c>
      <c r="B282" s="24" t="b">
        <f aca="false">A282&lt;=Inputs!$B$17</f>
        <v>0</v>
      </c>
      <c r="C282" s="25" t="n">
        <f aca="false">IF(A282=2,C281*(1-(Inputs!$B$22)),C281)</f>
        <v>0.276</v>
      </c>
      <c r="D282" s="26" t="n">
        <f aca="false">IF(B282,C282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282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2" s="25" t="n">
        <f aca="false">0</f>
        <v>0</v>
      </c>
      <c r="F28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3" customFormat="false" ht="15" hidden="false" customHeight="true" outlineLevel="0" collapsed="false">
      <c r="A283" s="23" t="n">
        <v>7</v>
      </c>
      <c r="B283" s="24" t="b">
        <f aca="false">A283&lt;=Inputs!$B$17</f>
        <v>0</v>
      </c>
      <c r="C283" s="25" t="n">
        <f aca="false">IF(A283=2,C282*(1-(Inputs!$B$22)),C282)</f>
        <v>0.276</v>
      </c>
      <c r="D283" s="26" t="n">
        <f aca="false">IF(B283,C283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283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3" s="25" t="n">
        <f aca="false">0</f>
        <v>0</v>
      </c>
      <c r="F28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4" customFormat="false" ht="15" hidden="false" customHeight="true" outlineLevel="0" collapsed="false">
      <c r="A284" s="23" t="n">
        <v>8</v>
      </c>
      <c r="B284" s="24" t="b">
        <f aca="false">A284&lt;=Inputs!$B$17</f>
        <v>0</v>
      </c>
      <c r="C284" s="25" t="n">
        <f aca="false">IF(A284=2,C283*(1-(Inputs!$B$22)),C283)</f>
        <v>0.276</v>
      </c>
      <c r="D284" s="26" t="n">
        <f aca="false">IF(B284,C284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284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4" s="25" t="n">
        <f aca="false">0</f>
        <v>0</v>
      </c>
      <c r="F28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5" customFormat="false" ht="15" hidden="false" customHeight="true" outlineLevel="0" collapsed="false">
      <c r="A285" s="23" t="n">
        <v>9</v>
      </c>
      <c r="B285" s="24" t="b">
        <f aca="false">A285&lt;=Inputs!$B$17</f>
        <v>0</v>
      </c>
      <c r="C285" s="25" t="n">
        <f aca="false">IF(A285=2,C284*(1-(Inputs!$B$22)),C284)</f>
        <v>0.276</v>
      </c>
      <c r="D285" s="26" t="n">
        <f aca="false">IF(B285,C285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285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5" s="25" t="n">
        <f aca="false">0</f>
        <v>0</v>
      </c>
      <c r="F28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6" customFormat="false" ht="15" hidden="false" customHeight="true" outlineLevel="0" collapsed="false">
      <c r="A286" s="23" t="n">
        <v>10</v>
      </c>
      <c r="B286" s="24" t="b">
        <f aca="false">A286&lt;=Inputs!$B$17</f>
        <v>0</v>
      </c>
      <c r="C286" s="25" t="n">
        <f aca="false">IF(A286=2,C285*(1-(Inputs!$B$22)),C285)</f>
        <v>0.276</v>
      </c>
      <c r="D286" s="26" t="n">
        <f aca="false">IF(B286,C286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286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6" s="25" t="n">
        <f aca="false">0</f>
        <v>0</v>
      </c>
      <c r="F28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7" customFormat="false" ht="15" hidden="false" customHeight="true" outlineLevel="0" collapsed="false">
      <c r="A287" s="23" t="n">
        <v>11</v>
      </c>
      <c r="B287" s="24" t="b">
        <f aca="false">A287&lt;=Inputs!$B$17</f>
        <v>0</v>
      </c>
      <c r="C287" s="25" t="n">
        <f aca="false">IF(A287=2,C286*(1-(Inputs!$B$22)),C286)</f>
        <v>0.276</v>
      </c>
      <c r="D287" s="26" t="n">
        <f aca="false">IF(B287,C287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287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7" s="25" t="n">
        <f aca="false">0</f>
        <v>0</v>
      </c>
      <c r="F28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8" customFormat="false" ht="15" hidden="false" customHeight="true" outlineLevel="0" collapsed="false">
      <c r="A288" s="23" t="n">
        <v>12</v>
      </c>
      <c r="B288" s="24" t="b">
        <f aca="false">A288&lt;=Inputs!$B$17</f>
        <v>0</v>
      </c>
      <c r="C288" s="25" t="n">
        <f aca="false">IF(A288=2,C287*(1-(Inputs!$B$22)),C287)</f>
        <v>0.276</v>
      </c>
      <c r="D288" s="26" t="n">
        <f aca="false">IF(B288,C288*((0.1)*(Inputs!$B$25/14)*Inputs!$B$5+(VLOOKUP("50",Inputs!$A$29:$K$33,4,FALSE()))*(Inputs!$B$25/14)*(Inputs!$B$10*Inputs!$B$6+(1-Inputs!$B$10)*Inputs!$B$7)+(VLOOKUP("50",Inputs!$A$29:$K$33,5,FALSE()))*(Inputs!$B$25/14)*(Inputs!$B$11*Inputs!$B$9+(1-Inputs!$B$11)*Inputs!$B$8))+(1-C288)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288*(((0.1)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288)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323.035121158929</v>
      </c>
      <c r="E288" s="25" t="n">
        <f aca="false">0</f>
        <v>0</v>
      </c>
      <c r="F28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89" customFormat="false" ht="15" hidden="false" customHeight="true" outlineLevel="0" collapsed="false">
      <c r="A289" s="27" t="s">
        <v>201</v>
      </c>
      <c r="D289" s="29" t="n">
        <f aca="false">SUM(D277:D288)-SUM(F277:F288)</f>
        <v>-476.240475206813</v>
      </c>
    </row>
    <row r="291" customFormat="false" ht="15" hidden="false" customHeight="true" outlineLevel="0" collapsed="false">
      <c r="A291" s="27" t="s">
        <v>218</v>
      </c>
    </row>
    <row r="292" customFormat="false" ht="21.75" hidden="false" customHeight="true" outlineLevel="0" collapsed="false">
      <c r="A292" s="43" t="s">
        <v>92</v>
      </c>
      <c r="B292" s="43" t="s">
        <v>145</v>
      </c>
      <c r="C292" s="43" t="s">
        <v>146</v>
      </c>
      <c r="D292" s="43" t="s">
        <v>147</v>
      </c>
      <c r="E292" s="43" t="s">
        <v>148</v>
      </c>
      <c r="F292" s="43" t="s">
        <v>149</v>
      </c>
    </row>
    <row r="293" customFormat="false" ht="15" hidden="false" customHeight="true" outlineLevel="0" collapsed="false">
      <c r="A293" s="23" t="n">
        <v>1</v>
      </c>
      <c r="B293" s="24" t="b">
        <f aca="false">A293&lt;=Inputs!$B$17</f>
        <v>1</v>
      </c>
      <c r="C293" s="25" t="n">
        <f aca="false">VLOOKUP("50",Inputs!$A$29:$K$33,2,FALSE())</f>
        <v>0.4</v>
      </c>
      <c r="D293" s="26" t="n">
        <f aca="false">IF(B293,C293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293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174.909440302679</v>
      </c>
      <c r="E293" s="25" t="n">
        <f aca="false">Inputs!$B$21</f>
        <v>0.083</v>
      </c>
      <c r="F293" s="26" t="n">
        <f aca="false">E293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E293)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310.490657839955</v>
      </c>
    </row>
    <row r="294" customFormat="false" ht="15" hidden="false" customHeight="true" outlineLevel="0" collapsed="false">
      <c r="A294" s="23" t="n">
        <v>2</v>
      </c>
      <c r="B294" s="24" t="b">
        <f aca="false">A294&lt;=Inputs!$B$17</f>
        <v>1</v>
      </c>
      <c r="C294" s="25" t="n">
        <f aca="false">IF(A294=2,C293*(1-(Inputs!$B$22)),C293)</f>
        <v>0.276</v>
      </c>
      <c r="D294" s="26" t="n">
        <f aca="false">IF(B294,C294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294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185.945677279964</v>
      </c>
      <c r="E294" s="25" t="n">
        <f aca="false">0</f>
        <v>0</v>
      </c>
      <c r="F29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95" customFormat="false" ht="15" hidden="false" customHeight="true" outlineLevel="0" collapsed="false">
      <c r="A295" s="23" t="n">
        <v>3</v>
      </c>
      <c r="B295" s="24" t="b">
        <f aca="false">A295&lt;=Inputs!$B$17</f>
        <v>1</v>
      </c>
      <c r="C295" s="25" t="n">
        <f aca="false">IF(A295=2,C294*(1-(Inputs!$B$22)),C294)</f>
        <v>0.276</v>
      </c>
      <c r="D295" s="26" t="n">
        <f aca="false">IF(B295,C295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295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185.945677279964</v>
      </c>
      <c r="E295" s="25" t="n">
        <f aca="false">0</f>
        <v>0</v>
      </c>
      <c r="F29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96" customFormat="false" ht="15" hidden="false" customHeight="true" outlineLevel="0" collapsed="false">
      <c r="A296" s="23" t="n">
        <v>4</v>
      </c>
      <c r="B296" s="24" t="b">
        <f aca="false">A296&lt;=Inputs!$B$17</f>
        <v>0</v>
      </c>
      <c r="C296" s="25" t="n">
        <f aca="false">IF(A296=2,C295*(1-(Inputs!$B$22)),C295)</f>
        <v>0.276</v>
      </c>
      <c r="D296" s="26" t="n">
        <f aca="false">IF(B296,C296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296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296" s="25" t="n">
        <f aca="false">0</f>
        <v>0</v>
      </c>
      <c r="F29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97" customFormat="false" ht="15" hidden="false" customHeight="true" outlineLevel="0" collapsed="false">
      <c r="A297" s="23" t="n">
        <v>5</v>
      </c>
      <c r="B297" s="24" t="b">
        <f aca="false">A297&lt;=Inputs!$B$17</f>
        <v>0</v>
      </c>
      <c r="C297" s="25" t="n">
        <f aca="false">IF(A297=2,C296*(1-(Inputs!$B$22)),C296)</f>
        <v>0.276</v>
      </c>
      <c r="D297" s="26" t="n">
        <f aca="false">IF(B297,C297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297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297" s="25" t="n">
        <f aca="false">0</f>
        <v>0</v>
      </c>
      <c r="F29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98" customFormat="false" ht="15" hidden="false" customHeight="true" outlineLevel="0" collapsed="false">
      <c r="A298" s="23" t="n">
        <v>6</v>
      </c>
      <c r="B298" s="24" t="b">
        <f aca="false">A298&lt;=Inputs!$B$17</f>
        <v>0</v>
      </c>
      <c r="C298" s="25" t="n">
        <f aca="false">IF(A298=2,C297*(1-(Inputs!$B$22)),C297)</f>
        <v>0.276</v>
      </c>
      <c r="D298" s="26" t="n">
        <f aca="false">IF(B298,C298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298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298" s="25" t="n">
        <f aca="false">0</f>
        <v>0</v>
      </c>
      <c r="F29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299" customFormat="false" ht="15" hidden="false" customHeight="true" outlineLevel="0" collapsed="false">
      <c r="A299" s="23" t="n">
        <v>7</v>
      </c>
      <c r="B299" s="24" t="b">
        <f aca="false">A299&lt;=Inputs!$B$17</f>
        <v>0</v>
      </c>
      <c r="C299" s="25" t="n">
        <f aca="false">IF(A299=2,C298*(1-(Inputs!$B$22)),C298)</f>
        <v>0.276</v>
      </c>
      <c r="D299" s="26" t="n">
        <f aca="false">IF(B299,C299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299)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299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299)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299" s="25" t="n">
        <f aca="false">0</f>
        <v>0</v>
      </c>
      <c r="F29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00" customFormat="false" ht="15" hidden="false" customHeight="true" outlineLevel="0" collapsed="false">
      <c r="A300" s="23" t="n">
        <v>8</v>
      </c>
      <c r="B300" s="24" t="b">
        <f aca="false">A300&lt;=Inputs!$B$17</f>
        <v>0</v>
      </c>
      <c r="C300" s="25" t="n">
        <f aca="false">IF(A300=2,C299*(1-(Inputs!$B$22)),C299)</f>
        <v>0.276</v>
      </c>
      <c r="D300" s="26" t="n">
        <f aca="false">IF(B300,C300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300)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300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300" s="25" t="n">
        <f aca="false">0</f>
        <v>0</v>
      </c>
      <c r="F30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01" customFormat="false" ht="15" hidden="false" customHeight="true" outlineLevel="0" collapsed="false">
      <c r="A301" s="23" t="n">
        <v>9</v>
      </c>
      <c r="B301" s="24" t="b">
        <f aca="false">A301&lt;=Inputs!$B$17</f>
        <v>0</v>
      </c>
      <c r="C301" s="25" t="n">
        <f aca="false">IF(A301=2,C300*(1-(Inputs!$B$22)),C300)</f>
        <v>0.276</v>
      </c>
      <c r="D301" s="26" t="n">
        <f aca="false">IF(B301,C301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301)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301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301" s="25" t="n">
        <f aca="false">0</f>
        <v>0</v>
      </c>
      <c r="F30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02" customFormat="false" ht="15" hidden="false" customHeight="true" outlineLevel="0" collapsed="false">
      <c r="A302" s="23" t="n">
        <v>10</v>
      </c>
      <c r="B302" s="24" t="b">
        <f aca="false">A302&lt;=Inputs!$B$17</f>
        <v>0</v>
      </c>
      <c r="C302" s="25" t="n">
        <f aca="false">IF(A302=2,C301*(1-(Inputs!$B$22)),C301)</f>
        <v>0.276</v>
      </c>
      <c r="D302" s="26" t="n">
        <f aca="false">IF(B302,C302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302)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302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302" s="25" t="n">
        <f aca="false">0</f>
        <v>0</v>
      </c>
      <c r="F30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03" customFormat="false" ht="15" hidden="false" customHeight="true" outlineLevel="0" collapsed="false">
      <c r="A303" s="23" t="n">
        <v>11</v>
      </c>
      <c r="B303" s="24" t="b">
        <f aca="false">A303&lt;=Inputs!$B$17</f>
        <v>0</v>
      </c>
      <c r="C303" s="25" t="n">
        <f aca="false">IF(A303=2,C302*(1-(Inputs!$B$22)),C302)</f>
        <v>0.276</v>
      </c>
      <c r="D303" s="26" t="n">
        <f aca="false">IF(B303,C303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303)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303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303" s="25" t="n">
        <f aca="false">0</f>
        <v>0</v>
      </c>
      <c r="F30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04" customFormat="false" ht="15" hidden="false" customHeight="true" outlineLevel="0" collapsed="false">
      <c r="A304" s="23" t="n">
        <v>12</v>
      </c>
      <c r="B304" s="24" t="b">
        <f aca="false">A304&lt;=Inputs!$B$17</f>
        <v>0</v>
      </c>
      <c r="C304" s="25" t="n">
        <f aca="false">IF(A304=2,C303*(1-(Inputs!$B$22)),C303)</f>
        <v>0.276</v>
      </c>
      <c r="D304" s="26" t="n">
        <f aca="false">IF(B304,C304*((1.52)*(Inputs!$B$25/14)*Inputs!$B$5+(VLOOKUP("50",Inputs!$A$29:$K$33,4,FALSE()))*(Inputs!$B$25/14)*(Inputs!$B$10*Inputs!$B$6+(1-Inputs!$B$10)*Inputs!$B$7)+(VLOOKUP("50",Inputs!$A$29:$K$33,5,FALSE()))*(Inputs!$B$25/14)*(Inputs!$B$11*Inputs!$B$9+(1-Inputs!$B$11)*Inputs!$B$8))+(1-C304)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304*(((1.52)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328.215743673214</v>
      </c>
      <c r="E304" s="25" t="n">
        <f aca="false">0</f>
        <v>0</v>
      </c>
      <c r="F30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05" customFormat="false" ht="15" hidden="false" customHeight="true" outlineLevel="0" collapsed="false">
      <c r="A305" s="27" t="s">
        <v>201</v>
      </c>
      <c r="D305" s="29" t="n">
        <f aca="false">SUM(D293:D304)-SUM(F293:F304)</f>
        <v>-413.303419806813</v>
      </c>
    </row>
    <row r="307" customFormat="false" ht="15" hidden="false" customHeight="true" outlineLevel="0" collapsed="false">
      <c r="A307" s="27" t="s">
        <v>219</v>
      </c>
    </row>
    <row r="308" customFormat="false" ht="21.75" hidden="false" customHeight="true" outlineLevel="0" collapsed="false">
      <c r="A308" s="43" t="s">
        <v>92</v>
      </c>
      <c r="B308" s="43" t="s">
        <v>145</v>
      </c>
      <c r="C308" s="43" t="s">
        <v>146</v>
      </c>
      <c r="D308" s="43" t="s">
        <v>147</v>
      </c>
      <c r="E308" s="43" t="s">
        <v>148</v>
      </c>
      <c r="F308" s="43" t="s">
        <v>149</v>
      </c>
    </row>
    <row r="309" customFormat="false" ht="15" hidden="false" customHeight="true" outlineLevel="0" collapsed="false">
      <c r="A309" s="23" t="n">
        <v>1</v>
      </c>
      <c r="B309" s="24" t="b">
        <f aca="false">A309&lt;=Inputs!$B$17</f>
        <v>1</v>
      </c>
      <c r="C309" s="25" t="n">
        <f aca="false">VLOOKUP("50",Inputs!$A$29:$K$33,2,FALSE())</f>
        <v>0.4</v>
      </c>
      <c r="D309" s="26" t="n">
        <f aca="false">IF(B309,C309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309)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309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309)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170.045006016964</v>
      </c>
      <c r="E309" s="25" t="n">
        <f aca="false">Inputs!$B$21</f>
        <v>0.083</v>
      </c>
      <c r="F309" s="26" t="n">
        <f aca="false">E309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309)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310" customFormat="false" ht="15" hidden="false" customHeight="true" outlineLevel="0" collapsed="false">
      <c r="A310" s="23" t="n">
        <v>2</v>
      </c>
      <c r="B310" s="24" t="b">
        <f aca="false">A310&lt;=Inputs!$B$17</f>
        <v>1</v>
      </c>
      <c r="C310" s="25" t="n">
        <f aca="false">IF(A310=2,C309*(1-(0.162)),C309)</f>
        <v>0.3352</v>
      </c>
      <c r="D310" s="26" t="n">
        <f aca="false">IF(B310,C310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176.600368210993</v>
      </c>
      <c r="E310" s="25" t="n">
        <f aca="false">0</f>
        <v>0</v>
      </c>
      <c r="F31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1" customFormat="false" ht="15" hidden="false" customHeight="true" outlineLevel="0" collapsed="false">
      <c r="A311" s="23" t="n">
        <v>3</v>
      </c>
      <c r="B311" s="24" t="b">
        <f aca="false">A311&lt;=Inputs!$B$17</f>
        <v>1</v>
      </c>
      <c r="C311" s="25" t="n">
        <f aca="false">IF(A311=2,C310*(1-(0.162)),C310)</f>
        <v>0.3352</v>
      </c>
      <c r="D311" s="26" t="n">
        <f aca="false">IF(B311,C311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176.600368210993</v>
      </c>
      <c r="E311" s="25" t="n">
        <f aca="false">0</f>
        <v>0</v>
      </c>
      <c r="F31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2" customFormat="false" ht="15" hidden="false" customHeight="true" outlineLevel="0" collapsed="false">
      <c r="A312" s="23" t="n">
        <v>4</v>
      </c>
      <c r="B312" s="24" t="b">
        <f aca="false">A312&lt;=Inputs!$B$17</f>
        <v>0</v>
      </c>
      <c r="C312" s="25" t="n">
        <f aca="false">IF(A312=2,C311*(1-(0.162)),C311)</f>
        <v>0.3352</v>
      </c>
      <c r="D312" s="26" t="n">
        <f aca="false">IF(B312,C312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2" s="25" t="n">
        <f aca="false">0</f>
        <v>0</v>
      </c>
      <c r="F31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3" customFormat="false" ht="15" hidden="false" customHeight="true" outlineLevel="0" collapsed="false">
      <c r="A313" s="23" t="n">
        <v>5</v>
      </c>
      <c r="B313" s="24" t="b">
        <f aca="false">A313&lt;=Inputs!$B$17</f>
        <v>0</v>
      </c>
      <c r="C313" s="25" t="n">
        <f aca="false">IF(A313=2,C312*(1-(0.162)),C312)</f>
        <v>0.3352</v>
      </c>
      <c r="D313" s="26" t="n">
        <f aca="false">IF(B313,C313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3" s="25" t="n">
        <f aca="false">0</f>
        <v>0</v>
      </c>
      <c r="F31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4" customFormat="false" ht="15" hidden="false" customHeight="true" outlineLevel="0" collapsed="false">
      <c r="A314" s="23" t="n">
        <v>6</v>
      </c>
      <c r="B314" s="24" t="b">
        <f aca="false">A314&lt;=Inputs!$B$17</f>
        <v>0</v>
      </c>
      <c r="C314" s="25" t="n">
        <f aca="false">IF(A314=2,C313*(1-(0.162)),C313)</f>
        <v>0.3352</v>
      </c>
      <c r="D314" s="26" t="n">
        <f aca="false">IF(B314,C314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4" s="25" t="n">
        <f aca="false">0</f>
        <v>0</v>
      </c>
      <c r="F31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5" customFormat="false" ht="15" hidden="false" customHeight="true" outlineLevel="0" collapsed="false">
      <c r="A315" s="23" t="n">
        <v>7</v>
      </c>
      <c r="B315" s="24" t="b">
        <f aca="false">A315&lt;=Inputs!$B$17</f>
        <v>0</v>
      </c>
      <c r="C315" s="25" t="n">
        <f aca="false">IF(A315=2,C314*(1-(0.162)),C314)</f>
        <v>0.3352</v>
      </c>
      <c r="D315" s="26" t="n">
        <f aca="false">IF(B315,C315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5" s="25" t="n">
        <f aca="false">0</f>
        <v>0</v>
      </c>
      <c r="F31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6" customFormat="false" ht="15" hidden="false" customHeight="true" outlineLevel="0" collapsed="false">
      <c r="A316" s="23" t="n">
        <v>8</v>
      </c>
      <c r="B316" s="24" t="b">
        <f aca="false">A316&lt;=Inputs!$B$17</f>
        <v>0</v>
      </c>
      <c r="C316" s="25" t="n">
        <f aca="false">IF(A316=2,C315*(1-(0.162)),C315)</f>
        <v>0.3352</v>
      </c>
      <c r="D316" s="26" t="n">
        <f aca="false">IF(B316,C316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6" s="25" t="n">
        <f aca="false">0</f>
        <v>0</v>
      </c>
      <c r="F31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7" customFormat="false" ht="15" hidden="false" customHeight="true" outlineLevel="0" collapsed="false">
      <c r="A317" s="23" t="n">
        <v>9</v>
      </c>
      <c r="B317" s="24" t="b">
        <f aca="false">A317&lt;=Inputs!$B$17</f>
        <v>0</v>
      </c>
      <c r="C317" s="25" t="n">
        <f aca="false">IF(A317=2,C316*(1-(0.162)),C316)</f>
        <v>0.3352</v>
      </c>
      <c r="D317" s="26" t="n">
        <f aca="false">IF(B317,C317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7" s="25" t="n">
        <f aca="false">0</f>
        <v>0</v>
      </c>
      <c r="F31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8" customFormat="false" ht="15" hidden="false" customHeight="true" outlineLevel="0" collapsed="false">
      <c r="A318" s="23" t="n">
        <v>10</v>
      </c>
      <c r="B318" s="24" t="b">
        <f aca="false">A318&lt;=Inputs!$B$17</f>
        <v>0</v>
      </c>
      <c r="C318" s="25" t="n">
        <f aca="false">IF(A318=2,C317*(1-(0.162)),C317)</f>
        <v>0.3352</v>
      </c>
      <c r="D318" s="26" t="n">
        <f aca="false">IF(B318,C318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8" s="25" t="n">
        <f aca="false">0</f>
        <v>0</v>
      </c>
      <c r="F31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19" customFormat="false" ht="15" hidden="false" customHeight="true" outlineLevel="0" collapsed="false">
      <c r="A319" s="23" t="n">
        <v>11</v>
      </c>
      <c r="B319" s="24" t="b">
        <f aca="false">A319&lt;=Inputs!$B$17</f>
        <v>0</v>
      </c>
      <c r="C319" s="25" t="n">
        <f aca="false">IF(A319=2,C318*(1-(0.162)),C318)</f>
        <v>0.3352</v>
      </c>
      <c r="D319" s="26" t="n">
        <f aca="false">IF(B319,C319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319)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319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319)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19" s="25" t="n">
        <f aca="false">0</f>
        <v>0</v>
      </c>
      <c r="F31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20" customFormat="false" ht="15" hidden="false" customHeight="true" outlineLevel="0" collapsed="false">
      <c r="A320" s="23" t="n">
        <v>12</v>
      </c>
      <c r="B320" s="24" t="b">
        <f aca="false">A320&lt;=Inputs!$B$17</f>
        <v>0</v>
      </c>
      <c r="C320" s="25" t="n">
        <f aca="false">IF(A320=2,C319*(1-(0.162)),C319)</f>
        <v>0.3352</v>
      </c>
      <c r="D320" s="26" t="n">
        <f aca="false">IF(B320,C320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324.272292895476</v>
      </c>
      <c r="E320" s="25" t="n">
        <f aca="false">0</f>
        <v>0</v>
      </c>
      <c r="F32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21" customFormat="false" ht="15" hidden="false" customHeight="true" outlineLevel="0" collapsed="false">
      <c r="A321" s="27" t="s">
        <v>201</v>
      </c>
      <c r="D321" s="29" t="n">
        <f aca="false">SUM(D309:D320)-SUM(F309:F320)</f>
        <v>-471.340159115827</v>
      </c>
    </row>
    <row r="323" customFormat="false" ht="15" hidden="false" customHeight="true" outlineLevel="0" collapsed="false">
      <c r="A323" s="27" t="s">
        <v>220</v>
      </c>
    </row>
    <row r="324" customFormat="false" ht="21.75" hidden="false" customHeight="true" outlineLevel="0" collapsed="false">
      <c r="A324" s="43" t="s">
        <v>92</v>
      </c>
      <c r="B324" s="43" t="s">
        <v>145</v>
      </c>
      <c r="C324" s="43" t="s">
        <v>146</v>
      </c>
      <c r="D324" s="43" t="s">
        <v>147</v>
      </c>
      <c r="E324" s="43" t="s">
        <v>148</v>
      </c>
      <c r="F324" s="43" t="s">
        <v>149</v>
      </c>
    </row>
    <row r="325" customFormat="false" ht="15" hidden="false" customHeight="true" outlineLevel="0" collapsed="false">
      <c r="A325" s="23" t="n">
        <v>1</v>
      </c>
      <c r="B325" s="24" t="b">
        <f aca="false">A325&lt;=Inputs!$B$17</f>
        <v>1</v>
      </c>
      <c r="C325" s="25" t="n">
        <f aca="false">VLOOKUP("50",Inputs!$A$29:$K$33,2,FALSE())</f>
        <v>0.4</v>
      </c>
      <c r="D325" s="26" t="n">
        <f aca="false">IF(B325,C325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170.045006016964</v>
      </c>
      <c r="E325" s="25" t="n">
        <f aca="false">Inputs!$B$21</f>
        <v>0.083</v>
      </c>
      <c r="F325" s="26" t="n">
        <f aca="false">E325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E325)*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309.48128772567</v>
      </c>
    </row>
    <row r="326" customFormat="false" ht="15" hidden="false" customHeight="true" outlineLevel="0" collapsed="false">
      <c r="A326" s="23" t="n">
        <v>2</v>
      </c>
      <c r="B326" s="24" t="b">
        <f aca="false">A326&lt;=Inputs!$B$17</f>
        <v>1</v>
      </c>
      <c r="C326" s="25" t="n">
        <f aca="false">IF(A326=2,C325*(1-(0.541)),C325)</f>
        <v>0.1836</v>
      </c>
      <c r="D326" s="26" t="n">
        <f aca="false">IF(B326,C326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191.936678529121</v>
      </c>
      <c r="E326" s="25" t="n">
        <f aca="false">0</f>
        <v>0</v>
      </c>
      <c r="F32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27" customFormat="false" ht="15" hidden="false" customHeight="true" outlineLevel="0" collapsed="false">
      <c r="A327" s="23" t="n">
        <v>3</v>
      </c>
      <c r="B327" s="24" t="b">
        <f aca="false">A327&lt;=Inputs!$B$17</f>
        <v>1</v>
      </c>
      <c r="C327" s="25" t="n">
        <f aca="false">IF(A327=2,C326*(1-(0.541)),C326)</f>
        <v>0.1836</v>
      </c>
      <c r="D327" s="26" t="n">
        <f aca="false">IF(B327,C327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327)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327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327)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191.936678529121</v>
      </c>
      <c r="E327" s="25" t="n">
        <f aca="false">0</f>
        <v>0</v>
      </c>
      <c r="F327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28" customFormat="false" ht="15" hidden="false" customHeight="true" outlineLevel="0" collapsed="false">
      <c r="A328" s="23" t="n">
        <v>4</v>
      </c>
      <c r="B328" s="24" t="b">
        <f aca="false">A328&lt;=Inputs!$B$17</f>
        <v>0</v>
      </c>
      <c r="C328" s="25" t="n">
        <f aca="false">IF(A328=2,C327*(1-(0.541)),C327)</f>
        <v>0.1836</v>
      </c>
      <c r="D328" s="26" t="n">
        <f aca="false">IF(B328,C328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328)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328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328)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28" s="25" t="n">
        <f aca="false">0</f>
        <v>0</v>
      </c>
      <c r="F328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29" customFormat="false" ht="15" hidden="false" customHeight="true" outlineLevel="0" collapsed="false">
      <c r="A329" s="23" t="n">
        <v>5</v>
      </c>
      <c r="B329" s="24" t="b">
        <f aca="false">A329&lt;=Inputs!$B$17</f>
        <v>0</v>
      </c>
      <c r="C329" s="25" t="n">
        <f aca="false">IF(A329=2,C328*(1-(0.541)),C328)</f>
        <v>0.1836</v>
      </c>
      <c r="D329" s="26" t="n">
        <f aca="false">IF(B329,C329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329)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329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329)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29" s="25" t="n">
        <f aca="false">0</f>
        <v>0</v>
      </c>
      <c r="F329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0" customFormat="false" ht="15" hidden="false" customHeight="true" outlineLevel="0" collapsed="false">
      <c r="A330" s="23" t="n">
        <v>6</v>
      </c>
      <c r="B330" s="24" t="b">
        <f aca="false">A330&lt;=Inputs!$B$17</f>
        <v>0</v>
      </c>
      <c r="C330" s="25" t="n">
        <f aca="false">IF(A330=2,C329*(1-(0.541)),C329)</f>
        <v>0.1836</v>
      </c>
      <c r="D330" s="26" t="n">
        <f aca="false">IF(B330,C330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330)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330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330)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0" s="25" t="n">
        <f aca="false">0</f>
        <v>0</v>
      </c>
      <c r="F330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1" customFormat="false" ht="15" hidden="false" customHeight="true" outlineLevel="0" collapsed="false">
      <c r="A331" s="23" t="n">
        <v>7</v>
      </c>
      <c r="B331" s="24" t="b">
        <f aca="false">A331&lt;=Inputs!$B$17</f>
        <v>0</v>
      </c>
      <c r="C331" s="25" t="n">
        <f aca="false">IF(A331=2,C330*(1-(0.541)),C330)</f>
        <v>0.1836</v>
      </c>
      <c r="D331" s="26" t="n">
        <f aca="false">IF(B331,C331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331)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331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331)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1" s="25" t="n">
        <f aca="false">0</f>
        <v>0</v>
      </c>
      <c r="F331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2" customFormat="false" ht="15" hidden="false" customHeight="true" outlineLevel="0" collapsed="false">
      <c r="A332" s="23" t="n">
        <v>8</v>
      </c>
      <c r="B332" s="24" t="b">
        <f aca="false">A332&lt;=Inputs!$B$17</f>
        <v>0</v>
      </c>
      <c r="C332" s="25" t="n">
        <f aca="false">IF(A332=2,C331*(1-(0.541)),C331)</f>
        <v>0.1836</v>
      </c>
      <c r="D332" s="26" t="n">
        <f aca="false">IF(B332,C332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332)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332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332)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2" s="25" t="n">
        <f aca="false">0</f>
        <v>0</v>
      </c>
      <c r="F332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3" customFormat="false" ht="15" hidden="false" customHeight="true" outlineLevel="0" collapsed="false">
      <c r="A333" s="23" t="n">
        <v>9</v>
      </c>
      <c r="B333" s="24" t="b">
        <f aca="false">A333&lt;=Inputs!$B$17</f>
        <v>0</v>
      </c>
      <c r="C333" s="25" t="n">
        <f aca="false">IF(A333=2,C332*(1-(0.541)),C332)</f>
        <v>0.1836</v>
      </c>
      <c r="D333" s="26" t="n">
        <f aca="false">IF(B333,C333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333)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333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333)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3" s="25" t="n">
        <f aca="false">0</f>
        <v>0</v>
      </c>
      <c r="F333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4" customFormat="false" ht="15" hidden="false" customHeight="true" outlineLevel="0" collapsed="false">
      <c r="A334" s="23" t="n">
        <v>10</v>
      </c>
      <c r="B334" s="24" t="b">
        <f aca="false">A334&lt;=Inputs!$B$17</f>
        <v>0</v>
      </c>
      <c r="C334" s="25" t="n">
        <f aca="false">IF(A334=2,C333*(1-(0.541)),C333)</f>
        <v>0.1836</v>
      </c>
      <c r="D334" s="26" t="n">
        <f aca="false">IF(B334,C334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334)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334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334)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4" s="25" t="n">
        <f aca="false">0</f>
        <v>0</v>
      </c>
      <c r="F334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5" customFormat="false" ht="15" hidden="false" customHeight="true" outlineLevel="0" collapsed="false">
      <c r="A335" s="23" t="n">
        <v>11</v>
      </c>
      <c r="B335" s="24" t="b">
        <f aca="false">A335&lt;=Inputs!$B$17</f>
        <v>0</v>
      </c>
      <c r="C335" s="25" t="n">
        <f aca="false">IF(A335=2,C334*(1-(0.541)),C334)</f>
        <v>0.1836</v>
      </c>
      <c r="D335" s="26" t="n">
        <f aca="false">IF(B335,C335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335)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335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335)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5" s="25" t="n">
        <f aca="false">0</f>
        <v>0</v>
      </c>
      <c r="F335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6" customFormat="false" ht="15" hidden="false" customHeight="true" outlineLevel="0" collapsed="false">
      <c r="A336" s="23" t="n">
        <v>12</v>
      </c>
      <c r="B336" s="24" t="b">
        <f aca="false">A336&lt;=Inputs!$B$17</f>
        <v>0</v>
      </c>
      <c r="C336" s="25" t="n">
        <f aca="false">IF(A336=2,C335*(1-(0.541)),C335)</f>
        <v>0.1836</v>
      </c>
      <c r="D336" s="26" t="n">
        <f aca="false">IF(B336,C336*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(1-C336)*((VLOOKUP("50",Inputs!$A$29:$K$33,6,FALSE()))*(Inputs!$B$25/14)*Inputs!$B$5+(VLOOKUP("50",Inputs!$A$29:$K$33,7,FALSE()))*(Inputs!$B$25/14)*(Inputs!$B$10*Inputs!$B$6+(1-Inputs!$B$10)*Inputs!$B$7)+(VLOOKUP("50",Inputs!$A$29:$K$33,8,FALSE()))*(Inputs!$B$25/14)*(Inputs!$B$11*Inputs!$B$9+(1-Inputs!$B$11)*Inputs!$B$8)),C336*(((VLOOKUP("50",Inputs!$A$29:$K$33,3,FALSE()))*(Inputs!$B$25/14)*Inputs!$B$5+(VLOOKUP("50",Inputs!$A$29:$K$33,4,FALSE()))*(Inputs!$B$25/14)*(Inputs!$B$10*Inputs!$B$6+(1-Inputs!$B$10)*Inputs!$B$7)+(VLOOKUP("50",Inputs!$A$29:$K$33,5,FALSE()))*(Inputs!$B$25/14)*(Inputs!$B$11*Inputs!$B$9+(1-Inputs!$B$11)*Inputs!$B$8))+Inputs!$B$18)+(1-C336)*(((INDEX(Inputs!$A$37:$C$37,1,1))*(Inputs!$B$25/14)*Inputs!$B$5+(INDEX(Inputs!$A$37:$C$37,1,2))*(Inputs!$B$25/14)*(Inputs!$B$10*Inputs!$B$6+(1-Inputs!$B$10)*Inputs!$B$7)+(INDEX(Inputs!$A$37:$C$37,1,3))*(Inputs!$B$25/14)*(Inputs!$B$11*Inputs!$B$9+(1-Inputs!$B$11)*Inputs!$B$8))))</f>
        <v>325.775466102946</v>
      </c>
      <c r="E336" s="25" t="n">
        <f aca="false">0</f>
        <v>0</v>
      </c>
      <c r="F336" s="26" t="n">
        <f aca="false">((INDEX(Inputs!$A$37:$C$37,1,1))*(Inputs!$B$25/14)*Inputs!$B$5+(INDEX(Inputs!$A$37:$C$37,1,2))*(Inputs!$B$25/14)*(Inputs!$B$10*Inputs!$B$6+(1-Inputs!$B$10)*Inputs!$B$7)+(INDEX(Inputs!$A$37:$C$37,1,3))*(Inputs!$B$25/14)*(Inputs!$B$11*Inputs!$B$9+(1-Inputs!$B$11)*Inputs!$B$8))</f>
        <v>327.595931808036</v>
      </c>
    </row>
    <row r="337" customFormat="false" ht="15" hidden="false" customHeight="true" outlineLevel="0" collapsed="false">
      <c r="A337" s="27" t="s">
        <v>201</v>
      </c>
      <c r="D337" s="29" t="n">
        <f aca="false">SUM(D325:D336)-SUM(F325:F336)</f>
        <v>-427.138979612338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2026-07-06T11:47:52Z</dcterms:created>
  <dc:creator>openpyxl</dc:creator>
  <dc:description/>
  <dc:language>en-US</dc:language>
  <cp:lastModifiedBy/>
  <dcterms:modified xsi:type="dcterms:W3CDTF">2026-07-06T11:51:30Z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